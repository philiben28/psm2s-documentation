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mc:AlternateContent xmlns:mc="http://schemas.openxmlformats.org/markup-compatibility/2006">
    <mc:Choice Requires="x15">
      <x15ac:absPath xmlns:x15ac="http://schemas.microsoft.com/office/spreadsheetml/2010/11/ac" url="https://pep28-my.sharepoint.com/personal/maintenance_iab_pep28_asso_fr/Documents/Documents/perso travail/Travail important/"/>
    </mc:Choice>
  </mc:AlternateContent>
  <xr:revisionPtr revIDLastSave="0" documentId="8_{120E5C52-A4CE-4DA9-BAA2-38FFBE59B997}" xr6:coauthVersionLast="47" xr6:coauthVersionMax="47" xr10:uidLastSave="{00000000-0000-0000-0000-000000000000}"/>
  <bookViews>
    <workbookView xWindow="-108" yWindow="-108" windowWidth="23256" windowHeight="12456" xr2:uid="{AFEC5FE0-E73F-49D5-940B-7D34501B1EFF}"/>
  </bookViews>
  <sheets>
    <sheet name="tableau de bord sécurité 2026" sheetId="21" r:id="rId1"/>
    <sheet name="CDLA" sheetId="23" r:id="rId2"/>
    <sheet name="DAME-AF-SEES" sheetId="4" r:id="rId3"/>
    <sheet name="DAME-AF-SIPFP" sheetId="5" r:id="rId4"/>
    <sheet name="DAME-AF+GEM-Clémenceau" sheetId="6" r:id="rId5"/>
    <sheet name="DAME-AF-Internat" sheetId="7" r:id="rId6"/>
    <sheet name="DAME-BD" sheetId="8" r:id="rId7"/>
    <sheet name="DES-AB-NLR" sheetId="9" r:id="rId8"/>
    <sheet name="DES-AB-Internat" sheetId="10" r:id="rId9"/>
    <sheet name="DES-AB-CHARTRES" sheetId="11" r:id="rId10"/>
    <sheet name="DES-AB-VERNOUILLET" sheetId="12" r:id="rId11"/>
    <sheet name="DES-AB-2SAI" sheetId="13" r:id="rId12"/>
    <sheet name="CMPP-DREUX" sheetId="2" r:id="rId13"/>
    <sheet name="CMPP-CHARTRES" sheetId="14" r:id="rId14"/>
    <sheet name="CMPP-CHATEAUDUN" sheetId="15" r:id="rId15"/>
    <sheet name="DITEP-SENONCHES" sheetId="16" r:id="rId16"/>
    <sheet name="DITEP-MORANCEZ" sheetId="17" r:id="rId17"/>
    <sheet name="PISP-DDAISP-ESATHM" sheetId="18" r:id="rId18"/>
    <sheet name="PIPSP habitat inclusif"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4" i="21" l="1"/>
  <c r="M33" i="21"/>
  <c r="P32" i="21"/>
  <c r="O32" i="21"/>
  <c r="N32" i="21"/>
  <c r="M32" i="21"/>
  <c r="L32" i="21"/>
  <c r="W14" i="21"/>
  <c r="AA35" i="21"/>
  <c r="Z35" i="21"/>
  <c r="X35" i="21"/>
  <c r="W35" i="21"/>
  <c r="U35" i="21"/>
  <c r="T35" i="21"/>
  <c r="R35" i="21"/>
  <c r="P35" i="21"/>
  <c r="O35" i="21"/>
  <c r="N35" i="21"/>
  <c r="M35" i="21"/>
  <c r="L35" i="21"/>
  <c r="H35" i="21"/>
  <c r="G35" i="21"/>
  <c r="F35" i="21"/>
  <c r="E35" i="21"/>
  <c r="C35" i="21"/>
  <c r="J35" i="21"/>
  <c r="C46" i="2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6" i="21"/>
  <c r="C37" i="21"/>
  <c r="C38" i="21"/>
  <c r="C39" i="21"/>
  <c r="C40" i="21"/>
  <c r="C41" i="21"/>
  <c r="C42" i="21"/>
  <c r="C43" i="21"/>
  <c r="C44" i="21"/>
  <c r="C45" i="21"/>
  <c r="C3" i="21"/>
  <c r="J13" i="21"/>
  <c r="E5" i="21"/>
  <c r="H34" i="21"/>
  <c r="R8" i="21"/>
  <c r="R7" i="21"/>
  <c r="E29" i="21"/>
  <c r="E28" i="21"/>
  <c r="E15" i="21"/>
  <c r="E14" i="21"/>
  <c r="E3" i="21"/>
  <c r="F3" i="21"/>
  <c r="G3" i="21"/>
  <c r="H3" i="21"/>
  <c r="J3" i="21"/>
  <c r="L3" i="21"/>
  <c r="M3" i="21"/>
  <c r="O3" i="21"/>
  <c r="P3" i="21"/>
  <c r="R3" i="21"/>
  <c r="T3" i="21"/>
  <c r="U3" i="21"/>
  <c r="W3" i="21"/>
  <c r="X3" i="21"/>
  <c r="Z3" i="21"/>
  <c r="AA3" i="21"/>
  <c r="E4" i="21"/>
  <c r="F4" i="21"/>
  <c r="G4" i="21"/>
  <c r="H4" i="21"/>
  <c r="J4" i="21"/>
  <c r="L4" i="21"/>
  <c r="M4" i="21"/>
  <c r="N4" i="21"/>
  <c r="O4" i="21"/>
  <c r="P4" i="21"/>
  <c r="R4" i="21"/>
  <c r="T4" i="21"/>
  <c r="U4" i="21"/>
  <c r="W4" i="21"/>
  <c r="X4" i="21"/>
  <c r="Z4" i="21"/>
  <c r="AA4" i="21"/>
  <c r="F5" i="21"/>
  <c r="G5" i="21"/>
  <c r="H5" i="21"/>
  <c r="J5" i="21"/>
  <c r="L5" i="21"/>
  <c r="M5" i="21"/>
  <c r="N5" i="21"/>
  <c r="O5" i="21"/>
  <c r="P5" i="21"/>
  <c r="R5" i="21"/>
  <c r="T5" i="21"/>
  <c r="U5" i="21"/>
  <c r="W5" i="21"/>
  <c r="X5" i="21"/>
  <c r="Z5" i="21"/>
  <c r="AA5" i="21"/>
  <c r="E6" i="21"/>
  <c r="F6" i="21"/>
  <c r="G6" i="21"/>
  <c r="H6" i="21"/>
  <c r="J6" i="21"/>
  <c r="L6" i="21"/>
  <c r="M6" i="21"/>
  <c r="N6" i="21"/>
  <c r="O6" i="21"/>
  <c r="P6" i="21"/>
  <c r="R6" i="21"/>
  <c r="T6" i="21"/>
  <c r="U6" i="21"/>
  <c r="W6" i="21"/>
  <c r="X6" i="21"/>
  <c r="Z6" i="21"/>
  <c r="AA6" i="21"/>
  <c r="E7" i="21"/>
  <c r="F7" i="21"/>
  <c r="G7" i="21"/>
  <c r="H7" i="21"/>
  <c r="J7" i="21"/>
  <c r="L7" i="21"/>
  <c r="M7" i="21"/>
  <c r="N7" i="21"/>
  <c r="O7" i="21"/>
  <c r="P7" i="21"/>
  <c r="T7" i="21"/>
  <c r="U7" i="21"/>
  <c r="W7" i="21"/>
  <c r="X7" i="21"/>
  <c r="Z7" i="21"/>
  <c r="AA7" i="21"/>
  <c r="E8" i="21"/>
  <c r="F8" i="21"/>
  <c r="G8" i="21"/>
  <c r="H8" i="21"/>
  <c r="J8" i="21"/>
  <c r="L8" i="21"/>
  <c r="M8" i="21"/>
  <c r="N8" i="21"/>
  <c r="O8" i="21"/>
  <c r="P8" i="21"/>
  <c r="T8" i="21"/>
  <c r="U8" i="21"/>
  <c r="W8" i="21"/>
  <c r="X8" i="21"/>
  <c r="Z8" i="21"/>
  <c r="AA8" i="21"/>
  <c r="E9" i="21"/>
  <c r="F9" i="21"/>
  <c r="G9" i="21"/>
  <c r="H9" i="21"/>
  <c r="J9" i="21"/>
  <c r="L9" i="21"/>
  <c r="M9" i="21"/>
  <c r="N9" i="21"/>
  <c r="O9" i="21"/>
  <c r="P9" i="21"/>
  <c r="R9" i="21"/>
  <c r="T9" i="21"/>
  <c r="U9" i="21"/>
  <c r="W9" i="21"/>
  <c r="X9" i="21"/>
  <c r="Z9" i="21"/>
  <c r="AA9" i="21"/>
  <c r="E10" i="21"/>
  <c r="F10" i="21"/>
  <c r="G10" i="21"/>
  <c r="H10" i="21"/>
  <c r="J10" i="21"/>
  <c r="L10" i="21"/>
  <c r="M10" i="21"/>
  <c r="N10" i="21"/>
  <c r="O10" i="21"/>
  <c r="P10" i="21"/>
  <c r="R10" i="21"/>
  <c r="T10" i="21"/>
  <c r="U10" i="21"/>
  <c r="W10" i="21"/>
  <c r="X10" i="21"/>
  <c r="Z10" i="21"/>
  <c r="AA10" i="21"/>
  <c r="E11" i="21"/>
  <c r="F11" i="21"/>
  <c r="G11" i="21"/>
  <c r="H11" i="21"/>
  <c r="J11" i="21"/>
  <c r="L11" i="21"/>
  <c r="M11" i="21"/>
  <c r="N11" i="21"/>
  <c r="O11" i="21"/>
  <c r="P11" i="21"/>
  <c r="R11" i="21"/>
  <c r="T11" i="21"/>
  <c r="U11" i="21"/>
  <c r="W11" i="21"/>
  <c r="X11" i="21"/>
  <c r="Z11" i="21"/>
  <c r="AA11" i="21"/>
  <c r="E12" i="21"/>
  <c r="F12" i="21"/>
  <c r="G12" i="21"/>
  <c r="H12" i="21"/>
  <c r="J12" i="21"/>
  <c r="L12" i="21"/>
  <c r="M12" i="21"/>
  <c r="N12" i="21"/>
  <c r="O12" i="21"/>
  <c r="P12" i="21"/>
  <c r="R12" i="21"/>
  <c r="T12" i="21"/>
  <c r="U12" i="21"/>
  <c r="W12" i="21"/>
  <c r="X12" i="21"/>
  <c r="Z12" i="21"/>
  <c r="AA12" i="21"/>
  <c r="E13" i="21"/>
  <c r="F13" i="21"/>
  <c r="G13" i="21"/>
  <c r="H13" i="21"/>
  <c r="L13" i="21"/>
  <c r="M13" i="21"/>
  <c r="N13" i="21"/>
  <c r="O13" i="21"/>
  <c r="P13" i="21"/>
  <c r="R13" i="21"/>
  <c r="T13" i="21"/>
  <c r="U13" i="21"/>
  <c r="W13" i="21"/>
  <c r="X13" i="21"/>
  <c r="Z13" i="21"/>
  <c r="AA13" i="21"/>
  <c r="F14" i="21"/>
  <c r="G14" i="21"/>
  <c r="H14" i="21"/>
  <c r="J14" i="21"/>
  <c r="L14" i="21"/>
  <c r="M14" i="21"/>
  <c r="N14" i="21"/>
  <c r="O14" i="21"/>
  <c r="P14" i="21"/>
  <c r="R14" i="21"/>
  <c r="T14" i="21"/>
  <c r="U14" i="21"/>
  <c r="X14" i="21"/>
  <c r="Z14" i="21"/>
  <c r="AA14" i="21"/>
  <c r="F15" i="21"/>
  <c r="G15" i="21"/>
  <c r="H15" i="21"/>
  <c r="J15" i="21"/>
  <c r="L15" i="21"/>
  <c r="M15" i="21"/>
  <c r="N15" i="21"/>
  <c r="O15" i="21"/>
  <c r="P15" i="21"/>
  <c r="R15" i="21"/>
  <c r="T15" i="21"/>
  <c r="U15" i="21"/>
  <c r="W15" i="21"/>
  <c r="X15" i="21"/>
  <c r="Z15" i="21"/>
  <c r="AA15" i="21"/>
  <c r="E16" i="21"/>
  <c r="F16" i="21"/>
  <c r="G16" i="21"/>
  <c r="H16" i="21"/>
  <c r="J16" i="21"/>
  <c r="L16" i="21"/>
  <c r="M16" i="21"/>
  <c r="N16" i="21"/>
  <c r="O16" i="21"/>
  <c r="P16" i="21"/>
  <c r="R16" i="21"/>
  <c r="T16" i="21"/>
  <c r="U16" i="21"/>
  <c r="W16" i="21"/>
  <c r="X16" i="21"/>
  <c r="Z16" i="21"/>
  <c r="AA16" i="21"/>
  <c r="E17" i="21"/>
  <c r="F17" i="21"/>
  <c r="G17" i="21"/>
  <c r="H17" i="21"/>
  <c r="J17" i="21"/>
  <c r="L17" i="21"/>
  <c r="M17" i="21"/>
  <c r="N17" i="21"/>
  <c r="O17" i="21"/>
  <c r="P17" i="21"/>
  <c r="R17" i="21"/>
  <c r="T17" i="21"/>
  <c r="U17" i="21"/>
  <c r="W17" i="21"/>
  <c r="X17" i="21"/>
  <c r="Z17" i="21"/>
  <c r="AA17" i="21"/>
  <c r="E18" i="21"/>
  <c r="F18" i="21"/>
  <c r="G18" i="21"/>
  <c r="H18" i="21"/>
  <c r="J18" i="21"/>
  <c r="L18" i="21"/>
  <c r="M18" i="21"/>
  <c r="N18" i="21"/>
  <c r="O18" i="21"/>
  <c r="P18" i="21"/>
  <c r="R18" i="21"/>
  <c r="T18" i="21"/>
  <c r="U18" i="21"/>
  <c r="W18" i="21"/>
  <c r="X18" i="21"/>
  <c r="Z18" i="21"/>
  <c r="AA18" i="21"/>
  <c r="E19" i="21"/>
  <c r="F19" i="21"/>
  <c r="G19" i="21"/>
  <c r="H19" i="21"/>
  <c r="J19" i="21"/>
  <c r="L19" i="21"/>
  <c r="M19" i="21"/>
  <c r="N19" i="21"/>
  <c r="O19" i="21"/>
  <c r="P19" i="21"/>
  <c r="R19" i="21"/>
  <c r="T19" i="21"/>
  <c r="U19" i="21"/>
  <c r="W19" i="21"/>
  <c r="X19" i="21"/>
  <c r="Z19" i="21"/>
  <c r="AA19" i="21"/>
  <c r="E20" i="21"/>
  <c r="F20" i="21"/>
  <c r="G20" i="21"/>
  <c r="H20" i="21"/>
  <c r="J20" i="21"/>
  <c r="L20" i="21"/>
  <c r="M20" i="21"/>
  <c r="N20" i="21"/>
  <c r="O20" i="21"/>
  <c r="P20" i="21"/>
  <c r="R20" i="21"/>
  <c r="T20" i="21"/>
  <c r="U20" i="21"/>
  <c r="W20" i="21"/>
  <c r="X20" i="21"/>
  <c r="Z20" i="21"/>
  <c r="AA20" i="21"/>
  <c r="E21" i="21"/>
  <c r="F21" i="21"/>
  <c r="G21" i="21"/>
  <c r="H21" i="21"/>
  <c r="J21" i="21"/>
  <c r="L21" i="21"/>
  <c r="M21" i="21"/>
  <c r="N21" i="21"/>
  <c r="O21" i="21"/>
  <c r="P21" i="21"/>
  <c r="R21" i="21"/>
  <c r="T21" i="21"/>
  <c r="U21" i="21"/>
  <c r="W21" i="21"/>
  <c r="X21" i="21"/>
  <c r="Z21" i="21"/>
  <c r="AA21" i="21"/>
  <c r="E22" i="21"/>
  <c r="F22" i="21"/>
  <c r="G22" i="21"/>
  <c r="H22" i="21"/>
  <c r="J22" i="21"/>
  <c r="L22" i="21"/>
  <c r="M22" i="21"/>
  <c r="N22" i="21"/>
  <c r="O22" i="21"/>
  <c r="P22" i="21"/>
  <c r="R22" i="21"/>
  <c r="T22" i="21"/>
  <c r="U22" i="21"/>
  <c r="W22" i="21"/>
  <c r="X22" i="21"/>
  <c r="Z22" i="21"/>
  <c r="AA22" i="21"/>
  <c r="E23" i="21"/>
  <c r="F23" i="21"/>
  <c r="G23" i="21"/>
  <c r="H23" i="21"/>
  <c r="J23" i="21"/>
  <c r="L23" i="21"/>
  <c r="M23" i="21"/>
  <c r="N23" i="21"/>
  <c r="O23" i="21"/>
  <c r="P23" i="21"/>
  <c r="R23" i="21"/>
  <c r="T23" i="21"/>
  <c r="U23" i="21"/>
  <c r="W23" i="21"/>
  <c r="X23" i="21"/>
  <c r="Z23" i="21"/>
  <c r="AA23" i="21"/>
  <c r="E24" i="21"/>
  <c r="F24" i="21"/>
  <c r="G24" i="21"/>
  <c r="H24" i="21"/>
  <c r="J24" i="21"/>
  <c r="L24" i="21"/>
  <c r="M24" i="21"/>
  <c r="N24" i="21"/>
  <c r="O24" i="21"/>
  <c r="P24" i="21"/>
  <c r="R24" i="21"/>
  <c r="T24" i="21"/>
  <c r="U24" i="21"/>
  <c r="W24" i="21"/>
  <c r="X24" i="21"/>
  <c r="Z24" i="21"/>
  <c r="AA24" i="21"/>
  <c r="E25" i="21"/>
  <c r="F25" i="21"/>
  <c r="G25" i="21"/>
  <c r="H25" i="21"/>
  <c r="J25" i="21"/>
  <c r="L25" i="21"/>
  <c r="M25" i="21"/>
  <c r="N25" i="21"/>
  <c r="O25" i="21"/>
  <c r="P25" i="21"/>
  <c r="R25" i="21"/>
  <c r="T25" i="21"/>
  <c r="U25" i="21"/>
  <c r="W25" i="21"/>
  <c r="X25" i="21"/>
  <c r="Z25" i="21"/>
  <c r="AA25" i="21"/>
  <c r="E26" i="21"/>
  <c r="F26" i="21"/>
  <c r="G26" i="21"/>
  <c r="H26" i="21"/>
  <c r="J26" i="21"/>
  <c r="L26" i="21"/>
  <c r="M26" i="21"/>
  <c r="N26" i="21"/>
  <c r="O26" i="21"/>
  <c r="P26" i="21"/>
  <c r="R26" i="21"/>
  <c r="T26" i="21"/>
  <c r="U26" i="21"/>
  <c r="W26" i="21"/>
  <c r="X26" i="21"/>
  <c r="Z26" i="21"/>
  <c r="AA26" i="21"/>
  <c r="E27" i="21"/>
  <c r="F27" i="21"/>
  <c r="G27" i="21"/>
  <c r="H27" i="21"/>
  <c r="J27" i="21"/>
  <c r="L27" i="21"/>
  <c r="M27" i="21"/>
  <c r="N27" i="21"/>
  <c r="O27" i="21"/>
  <c r="P27" i="21"/>
  <c r="R27" i="21"/>
  <c r="T27" i="21"/>
  <c r="U27" i="21"/>
  <c r="W27" i="21"/>
  <c r="X27" i="21"/>
  <c r="Z27" i="21"/>
  <c r="AA27" i="21"/>
  <c r="F28" i="21"/>
  <c r="G28" i="21"/>
  <c r="H28" i="21"/>
  <c r="J28" i="21"/>
  <c r="L28" i="21"/>
  <c r="M28" i="21"/>
  <c r="N28" i="21"/>
  <c r="O28" i="21"/>
  <c r="P28" i="21"/>
  <c r="R28" i="21"/>
  <c r="T28" i="21"/>
  <c r="U28" i="21"/>
  <c r="W28" i="21"/>
  <c r="X28" i="21"/>
  <c r="Z28" i="21"/>
  <c r="AA28" i="21"/>
  <c r="F29" i="21"/>
  <c r="G29" i="21"/>
  <c r="H29" i="21"/>
  <c r="J29" i="21"/>
  <c r="L29" i="21"/>
  <c r="M29" i="21"/>
  <c r="N29" i="21"/>
  <c r="O29" i="21"/>
  <c r="P29" i="21"/>
  <c r="R29" i="21"/>
  <c r="T29" i="21"/>
  <c r="U29" i="21"/>
  <c r="W29" i="21"/>
  <c r="X29" i="21"/>
  <c r="Z29" i="21"/>
  <c r="AA29" i="21"/>
  <c r="E30" i="21"/>
  <c r="F30" i="21"/>
  <c r="G30" i="21"/>
  <c r="H30" i="21"/>
  <c r="J30" i="21"/>
  <c r="L30" i="21"/>
  <c r="M30" i="21"/>
  <c r="N30" i="21"/>
  <c r="O30" i="21"/>
  <c r="P30" i="21"/>
  <c r="R30" i="21"/>
  <c r="T30" i="21"/>
  <c r="U30" i="21"/>
  <c r="W30" i="21"/>
  <c r="X30" i="21"/>
  <c r="Z30" i="21"/>
  <c r="AA30" i="21"/>
  <c r="E31" i="21"/>
  <c r="F31" i="21"/>
  <c r="G31" i="21"/>
  <c r="H31" i="21"/>
  <c r="J31" i="21"/>
  <c r="L31" i="21"/>
  <c r="M31" i="21"/>
  <c r="N31" i="21"/>
  <c r="O31" i="21"/>
  <c r="P31" i="21"/>
  <c r="R31" i="21"/>
  <c r="T31" i="21"/>
  <c r="U31" i="21"/>
  <c r="W31" i="21"/>
  <c r="X31" i="21"/>
  <c r="Z31" i="21"/>
  <c r="AA31" i="21"/>
  <c r="E32" i="21"/>
  <c r="F32" i="21"/>
  <c r="G32" i="21"/>
  <c r="H32" i="21"/>
  <c r="J32" i="21"/>
  <c r="R32" i="21"/>
  <c r="T32" i="21"/>
  <c r="U32" i="21"/>
  <c r="W32" i="21"/>
  <c r="X32" i="21"/>
  <c r="Z32" i="21"/>
  <c r="AA32" i="21"/>
  <c r="E33" i="21"/>
  <c r="F33" i="21"/>
  <c r="G33" i="21"/>
  <c r="H33" i="21"/>
  <c r="J33" i="21"/>
  <c r="L33" i="21"/>
  <c r="N33" i="21"/>
  <c r="O33" i="21"/>
  <c r="P33" i="21"/>
  <c r="R33" i="21"/>
  <c r="T33" i="21"/>
  <c r="U33" i="21"/>
  <c r="W33" i="21"/>
  <c r="X33" i="21"/>
  <c r="Z33" i="21"/>
  <c r="AA33" i="21"/>
  <c r="E34" i="21"/>
  <c r="F34" i="21"/>
  <c r="G34" i="21"/>
  <c r="J34" i="21"/>
  <c r="L34" i="21"/>
  <c r="M34" i="21"/>
  <c r="N34" i="21"/>
  <c r="P34" i="21"/>
  <c r="R34" i="21"/>
  <c r="T34" i="21"/>
  <c r="U34" i="21"/>
  <c r="W34" i="21"/>
  <c r="X34" i="21"/>
  <c r="Z34" i="21"/>
  <c r="AA34" i="21"/>
  <c r="E36" i="21"/>
  <c r="F36" i="21"/>
  <c r="G36" i="21"/>
  <c r="H36" i="21"/>
  <c r="J36" i="21"/>
  <c r="L36" i="21"/>
  <c r="M36" i="21"/>
  <c r="N36" i="21"/>
  <c r="O36" i="21"/>
  <c r="P36" i="21"/>
  <c r="R36" i="21"/>
  <c r="T36" i="21"/>
  <c r="U36" i="21"/>
  <c r="W36" i="21"/>
  <c r="Z36" i="21"/>
  <c r="AA36" i="21"/>
  <c r="E37" i="21"/>
  <c r="F37" i="21"/>
  <c r="G37" i="21"/>
  <c r="H37" i="21"/>
  <c r="J37" i="21"/>
  <c r="L37" i="21"/>
  <c r="M37" i="21"/>
  <c r="N37" i="21"/>
  <c r="O37" i="21"/>
  <c r="P37" i="21"/>
  <c r="R37" i="21"/>
  <c r="T37" i="21"/>
  <c r="U37" i="21"/>
  <c r="W37" i="21"/>
  <c r="X37" i="21"/>
  <c r="Z37" i="21"/>
  <c r="AA37" i="21"/>
  <c r="E38" i="21"/>
  <c r="F38" i="21"/>
  <c r="G38" i="21"/>
  <c r="H38" i="21"/>
  <c r="J38" i="21"/>
  <c r="L38" i="21"/>
  <c r="M38" i="21"/>
  <c r="N38" i="21"/>
  <c r="O38" i="21"/>
  <c r="P38" i="21"/>
  <c r="R38" i="21"/>
  <c r="T38" i="21"/>
  <c r="U38" i="21"/>
  <c r="W38" i="21"/>
  <c r="X38" i="21"/>
  <c r="Z38" i="21"/>
  <c r="AA38" i="21"/>
  <c r="E39" i="21"/>
  <c r="F39" i="21"/>
  <c r="G39" i="21"/>
  <c r="H39" i="21"/>
  <c r="J39" i="21"/>
  <c r="L39" i="21"/>
  <c r="M39" i="21"/>
  <c r="N39" i="21"/>
  <c r="O39" i="21"/>
  <c r="P39" i="21"/>
  <c r="R39" i="21"/>
  <c r="T39" i="21"/>
  <c r="U39" i="21"/>
  <c r="W39" i="21"/>
  <c r="X39" i="21"/>
  <c r="Z39" i="21"/>
  <c r="AA39" i="21"/>
  <c r="E40" i="21"/>
  <c r="F40" i="21"/>
  <c r="G40" i="21"/>
  <c r="H40" i="21"/>
  <c r="J40" i="21"/>
  <c r="L40" i="21"/>
  <c r="M40" i="21"/>
  <c r="N40" i="21"/>
  <c r="O40" i="21"/>
  <c r="P40" i="21"/>
  <c r="R40" i="21"/>
  <c r="T40" i="21"/>
  <c r="U40" i="21"/>
  <c r="W40" i="21"/>
  <c r="X40" i="21"/>
  <c r="Z40" i="21"/>
  <c r="AA40" i="21"/>
  <c r="E41" i="21"/>
  <c r="F41" i="21"/>
  <c r="G41" i="21"/>
  <c r="H41" i="21"/>
  <c r="J41" i="21"/>
  <c r="L41" i="21"/>
  <c r="M41" i="21"/>
  <c r="N41" i="21"/>
  <c r="O41" i="21"/>
  <c r="P41" i="21"/>
  <c r="R41" i="21"/>
  <c r="T41" i="21"/>
  <c r="U41" i="21"/>
  <c r="W41" i="21"/>
  <c r="X41" i="21"/>
  <c r="Z41" i="21"/>
  <c r="AA41" i="21"/>
  <c r="E42" i="21"/>
  <c r="F42" i="21"/>
  <c r="G42" i="21"/>
  <c r="H42" i="21"/>
  <c r="J42" i="21"/>
  <c r="L42" i="21"/>
  <c r="M42" i="21"/>
  <c r="N42" i="21"/>
  <c r="O42" i="21"/>
  <c r="P42" i="21"/>
  <c r="R42" i="21"/>
  <c r="T42" i="21"/>
  <c r="U42" i="21"/>
  <c r="W42" i="21"/>
  <c r="X42" i="21"/>
  <c r="Z42" i="21"/>
  <c r="AA42" i="21"/>
  <c r="E43" i="21"/>
  <c r="F43" i="21"/>
  <c r="G43" i="21"/>
  <c r="H43" i="21"/>
  <c r="J43" i="21"/>
  <c r="L43" i="21"/>
  <c r="M43" i="21"/>
  <c r="N43" i="21"/>
  <c r="O43" i="21"/>
  <c r="P43" i="21"/>
  <c r="R43" i="21"/>
  <c r="T43" i="21"/>
  <c r="U43" i="21"/>
  <c r="W43" i="21"/>
  <c r="X43" i="21"/>
  <c r="Z43" i="21"/>
  <c r="AA43" i="21"/>
  <c r="E44" i="21"/>
  <c r="F44" i="21"/>
  <c r="G44" i="21"/>
  <c r="H44" i="21"/>
  <c r="J44" i="21"/>
  <c r="L44" i="21"/>
  <c r="M44" i="21"/>
  <c r="N44" i="21"/>
  <c r="O44" i="21"/>
  <c r="P44" i="21"/>
  <c r="R44" i="21"/>
  <c r="T44" i="21"/>
  <c r="U44" i="21"/>
  <c r="W44" i="21"/>
  <c r="X44" i="21"/>
  <c r="Z44" i="21"/>
  <c r="AA44" i="21"/>
  <c r="E45" i="21"/>
  <c r="F45" i="21"/>
  <c r="G45" i="21"/>
  <c r="H45" i="21"/>
  <c r="J45" i="21"/>
  <c r="L45" i="21"/>
  <c r="M45" i="21"/>
  <c r="N45" i="21"/>
  <c r="O45" i="21"/>
  <c r="P45" i="21"/>
  <c r="R45" i="21"/>
  <c r="T45" i="21"/>
  <c r="U45" i="21"/>
  <c r="W45" i="21"/>
  <c r="X45" i="21"/>
  <c r="Z45" i="21"/>
  <c r="AA45" i="21"/>
  <c r="E46" i="21"/>
  <c r="F46" i="21"/>
  <c r="G46" i="21"/>
  <c r="H46" i="21"/>
  <c r="J46" i="21"/>
  <c r="L46" i="21"/>
  <c r="M46" i="21"/>
  <c r="N46" i="21"/>
  <c r="O46" i="21"/>
  <c r="P46" i="21"/>
  <c r="R46" i="21"/>
  <c r="T46" i="21"/>
  <c r="U46" i="21"/>
  <c r="W46" i="21"/>
  <c r="X46" i="21"/>
  <c r="Z46" i="21"/>
  <c r="AA46" i="21"/>
</calcChain>
</file>

<file path=xl/sharedStrings.xml><?xml version="1.0" encoding="utf-8"?>
<sst xmlns="http://schemas.openxmlformats.org/spreadsheetml/2006/main" count="2207" uniqueCount="310">
  <si>
    <t>Objet</t>
  </si>
  <si>
    <t>CDLA</t>
  </si>
  <si>
    <t xml:space="preserve">DAME
 AF </t>
  </si>
  <si>
    <t>DAME
 BD</t>
  </si>
  <si>
    <t>DES
 AB</t>
  </si>
  <si>
    <t>CMPP
 DREUX</t>
  </si>
  <si>
    <t>CMPP</t>
  </si>
  <si>
    <t>DITEP</t>
  </si>
  <si>
    <t>PISP</t>
  </si>
  <si>
    <t>SEES</t>
  </si>
  <si>
    <t>SIPFP</t>
  </si>
  <si>
    <t>Clémenceau</t>
  </si>
  <si>
    <t>Internat</t>
  </si>
  <si>
    <t>NLR</t>
  </si>
  <si>
    <t>Antenne
 CHARTRES</t>
  </si>
  <si>
    <t>Antenne 
VERNOUILLET</t>
  </si>
  <si>
    <t>2SAI</t>
  </si>
  <si>
    <t xml:space="preserve"> CHARTRES</t>
  </si>
  <si>
    <t>CHATEAUDUN</t>
  </si>
  <si>
    <t>SENONCHES</t>
  </si>
  <si>
    <t>MORANCEZ</t>
  </si>
  <si>
    <t>DDAISP</t>
  </si>
  <si>
    <t>GEM</t>
  </si>
  <si>
    <t>ESATHM</t>
  </si>
  <si>
    <t>Commission de sécurité</t>
  </si>
  <si>
    <t>PV</t>
  </si>
  <si>
    <t>X</t>
  </si>
  <si>
    <t>Triennale</t>
  </si>
  <si>
    <t>contrôle</t>
  </si>
  <si>
    <t>alarme incendie</t>
  </si>
  <si>
    <t>entretien</t>
  </si>
  <si>
    <t>Extinteurs</t>
  </si>
  <si>
    <t>Désenfumage</t>
  </si>
  <si>
    <t>Exercices incendie</t>
  </si>
  <si>
    <t>Exercices PPMS</t>
  </si>
  <si>
    <t>calage des dates d'exercices de l'année scolaire</t>
  </si>
  <si>
    <t>date butoir fin Août</t>
  </si>
  <si>
    <t>Électricité</t>
  </si>
  <si>
    <t>vérification</t>
  </si>
  <si>
    <t>blocs de secours (internat mensuel)</t>
  </si>
  <si>
    <t>Ascenseur</t>
  </si>
  <si>
    <t>Quinquenale</t>
  </si>
  <si>
    <t>Élévateur</t>
  </si>
  <si>
    <t>Portail</t>
  </si>
  <si>
    <t>Groupe électrogène</t>
  </si>
  <si>
    <t>Jeux exterieur</t>
  </si>
  <si>
    <t>Mur d'escalade</t>
  </si>
  <si>
    <t>Chaufferie</t>
  </si>
  <si>
    <t>ramonage</t>
  </si>
  <si>
    <t>Disconnecteur</t>
  </si>
  <si>
    <t>Gaz</t>
  </si>
  <si>
    <t>CTA</t>
  </si>
  <si>
    <t>Plans d'intervention</t>
  </si>
  <si>
    <t>Plans des abords extérieur (point de rassemblement et circulation)</t>
  </si>
  <si>
    <t>Personnel SST</t>
  </si>
  <si>
    <t>formation</t>
  </si>
  <si>
    <t>Personnel EPI</t>
  </si>
  <si>
    <t>Manipulation SSI</t>
  </si>
  <si>
    <t>Personnel habilité ELEC</t>
  </si>
  <si>
    <t>Diag accessibilité handicapes</t>
  </si>
  <si>
    <t>Diag technique amiante et plombs</t>
  </si>
  <si>
    <t>tous les 3ans si présence</t>
  </si>
  <si>
    <t>Procédures de coupures GAZ</t>
  </si>
  <si>
    <t>Procédures de coupures ELEC</t>
  </si>
  <si>
    <t>Procédures de coupures EAU</t>
  </si>
  <si>
    <t>Procédures évacuation incendie</t>
  </si>
  <si>
    <t>Procédures ouverture portail</t>
  </si>
  <si>
    <t>Procédures accès aux bâtiments</t>
  </si>
  <si>
    <t>Plan Bleu</t>
  </si>
  <si>
    <t>mise à jour</t>
  </si>
  <si>
    <t>DUERP</t>
  </si>
  <si>
    <t>carnet sanitaire EAU</t>
  </si>
  <si>
    <t>contrôle T°</t>
  </si>
  <si>
    <t>legionelles</t>
  </si>
  <si>
    <t>FAIT</t>
  </si>
  <si>
    <t>A REFAIRE</t>
  </si>
  <si>
    <t>A FAIRE</t>
  </si>
  <si>
    <t>REMARQUE</t>
  </si>
  <si>
    <t>X  Pas d'obligation</t>
  </si>
  <si>
    <t>État registre de sécurité
SHAREPOINT</t>
  </si>
  <si>
    <t>Remarques</t>
  </si>
  <si>
    <t>état et commentaire de la direction</t>
  </si>
  <si>
    <t>pas de système d'alarme incendie, je vous conseil d'en mettre un en place (NEUTRONIC propose des systèmes très efficaces)</t>
  </si>
  <si>
    <t>les rapports arrivent au siège (demander à EUROFEU de signer le registre du CDLA)</t>
  </si>
  <si>
    <t>scanner le rapport du siège et le joindre à l'annexe</t>
  </si>
  <si>
    <t>à mettre en place avec le siège, faire RETEX, classer dans l'annexe et attente retour scanné</t>
  </si>
  <si>
    <t>mettre en place les dates d'exercices en lien avec le siège</t>
  </si>
  <si>
    <t>appeler SOCOTEC pour rendre RDV rapidement</t>
  </si>
  <si>
    <t>à lier à la procédure incendie</t>
  </si>
  <si>
    <t>URGENT pas de formation à jour (seront intégré aux formation de DREUX) (attente du retour des feuilles de formation)</t>
  </si>
  <si>
    <t>pas de formation à jour (seront intégré aux formation de DREUX) (attente du retour des feuilles de formation)</t>
  </si>
  <si>
    <t>géré par les factos du siège</t>
  </si>
  <si>
    <t>je vois avec Émilie si un diag à été fait en même temps que le siège</t>
  </si>
  <si>
    <t>diag effectué avec le siège lors de l'achat (présence d'amiante de catégorie A qui nécessite un recontrôle tous les 3ans)</t>
  </si>
  <si>
    <t>mettre cette procédure à chaque issues de secours</t>
  </si>
  <si>
    <t>à jour</t>
  </si>
  <si>
    <t>pas de plan bleu à ce jour (attente retour scan pour SHAREPOINT)</t>
  </si>
  <si>
    <t>à jour  (attente retour scan pour SHAREPOINT)</t>
  </si>
  <si>
    <t>renseignement ARS</t>
  </si>
  <si>
    <t>REMETTRE A JOUR</t>
  </si>
  <si>
    <t>DAME AF SEES Retour suite réunion de sécurité du 2025/05/02</t>
  </si>
  <si>
    <t>Présent</t>
  </si>
  <si>
    <t>17/02/2000 Catégorie5 TypeR voir si les prescriptions de la sous commission de sécurité sont bien levées</t>
  </si>
  <si>
    <t xml:space="preserve"> </t>
  </si>
  <si>
    <t>remplacer DM dans la cuisine + suite passage ASGAR : alarme HS dans l'administration à remplacer</t>
  </si>
  <si>
    <t>contrôle fait le 19/01/26 , un déclencheur dans la cuisine NFP</t>
  </si>
  <si>
    <t>Manuel :fait le 07/01/2026 attente PV</t>
  </si>
  <si>
    <t>incendie: 23/09/2025 + 20/03/2026 PPMS: 13/10/2025 + 13/04/2026</t>
  </si>
  <si>
    <t>lever les non conformités "attention la remarque 4 est un dangers de mort!!!!"</t>
  </si>
  <si>
    <t>Manuel: fait le 19/01/26 attente PV</t>
  </si>
  <si>
    <t>Manuel : pas de GE sur la SEES</t>
  </si>
  <si>
    <t>lever les non conformités</t>
  </si>
  <si>
    <t>Manuel : contrôle SOCOTEC fait le 02/02/26 attente PV</t>
  </si>
  <si>
    <t>demande faite à DALKYA le 24/11/25</t>
  </si>
  <si>
    <t>mettre dans bannette aux issus de secours</t>
  </si>
  <si>
    <t>à créer, classer dans l'annexe, mettre dans bannette aux issus de secours, attente retour scanné</t>
  </si>
  <si>
    <t>Manuel: document déjà sur sharepoint</t>
  </si>
  <si>
    <t>afficher la liste des personnes formées aux issues de secours</t>
  </si>
  <si>
    <t>Manuel : nouvelle liste envoyée le 11/12/25</t>
  </si>
  <si>
    <t>afficher la liste aux issues de secours</t>
  </si>
  <si>
    <t>mettre en place formation avec une liste tenue à jour, afficher, classer dans l'annexe et attente retour scanné de l'ensemble des formés</t>
  </si>
  <si>
    <t>voir si un document à été fait, le classer dans l'annexe et attente retour scanné</t>
  </si>
  <si>
    <t>à faire pour G.GATEAU</t>
  </si>
  <si>
    <t>à mettre dans les petites bannettes à chaque issus de secours</t>
  </si>
  <si>
    <t>à remettre à jour</t>
  </si>
  <si>
    <t>à remettre à jour et attente du retour scanné</t>
  </si>
  <si>
    <t>à créer si non fait, mettre en place un classeur pour stocker et attente du retour scanné</t>
  </si>
  <si>
    <t>DAME AF SIPFP Retour suite réunion de sécurité du 02/05/2025</t>
  </si>
  <si>
    <t>17/02/2000 Catégorie5 TypeR voir si les prescription de la sous commission de sécurité sont bien levées</t>
  </si>
  <si>
    <t xml:space="preserve">  </t>
  </si>
  <si>
    <t>Manuel: fait le 07/01/2026 attente PV</t>
  </si>
  <si>
    <t>Incendie : 23/09/2025 + 20/03/2026 PPMS : 13/10/2025 + 13/04/2026</t>
  </si>
  <si>
    <t>lever les non-conformités</t>
  </si>
  <si>
    <t>lever non-conformité (barre palpeuse à mettre en place)</t>
  </si>
  <si>
    <t>Manuel : Devis reçu le 08/12/2025</t>
  </si>
  <si>
    <t>arrondir les angles des pieds de l'ancienne table de ping pong</t>
  </si>
  <si>
    <t>Manuel : fait table entièrement démontée</t>
  </si>
  <si>
    <t>lever les non-conformités (panneautage à refaire) ATTENTION déjà identifié en 2025</t>
  </si>
  <si>
    <t>Manuel : vitre supprimée</t>
  </si>
  <si>
    <t>classer dans l'annexe, mettre dans bannette aux issus de secours</t>
  </si>
  <si>
    <t>afficher la liste à chaque issus de secours</t>
  </si>
  <si>
    <t>mettre en place formation, afficher, classer dans l'annexe et attente retour scanné de l'ensemble des formés</t>
  </si>
  <si>
    <t>Manuel : envoyée le 10/12/25</t>
  </si>
  <si>
    <t>à remmetre à jour et attente du retour scanné</t>
  </si>
  <si>
    <t>DAME AF Clémenceau Retour suite réunion de sécurité du 02/05/2025</t>
  </si>
  <si>
    <t xml:space="preserve">fait le 08/10/2025 société EUROFEU </t>
  </si>
  <si>
    <t>mettre en place un contrat d'entretien au minimum annuelle</t>
  </si>
  <si>
    <t>il faut faire le point avec Mme PROFETI, afficher aux issus de secours, à classer dans l'annexe et attente retour scanné</t>
  </si>
  <si>
    <t>remettre à jour les formations et afficher la liste</t>
  </si>
  <si>
    <t>voir rapport diag de l'achat du bâtiment</t>
  </si>
  <si>
    <t>mettre en place dans des petites bannettes à chaque issus de secours</t>
  </si>
  <si>
    <t>à construire (M LECOMTE + Mme PROFETI-HAMEL)</t>
  </si>
  <si>
    <t>DAME AF Internat Retour suite réunion de sécurité du 02/05/2025</t>
  </si>
  <si>
    <t>géré par DES AB Catégorie4 TypeJ</t>
  </si>
  <si>
    <t>géré par DES AB</t>
  </si>
  <si>
    <t>Incendie : 01/10/2025 + 06/03/2026 PPMS : 08/10/2025 + 08/04/2026</t>
  </si>
  <si>
    <t>formation planifié au 24/10/2025 mais veilleur de nuit en arrêt maladie</t>
  </si>
  <si>
    <t>formation planifié au 22/10/2025 mais veilleur de nuit en arrêt maladie</t>
  </si>
  <si>
    <t>mettre une liste d'émargement en place</t>
  </si>
  <si>
    <t>penser à sensibiliser chaque personne qui arrive dans l'établissement par le référent sécurité (une procédure commune du secteur PSM2S est à imaginer)</t>
  </si>
  <si>
    <t>à remetre à jour et attente du retour scanné</t>
  </si>
  <si>
    <t>DAME BD Retour suite réunion de sécurité du 27/05/2025</t>
  </si>
  <si>
    <t>Avis préliminaire de la commision de sécurité</t>
  </si>
  <si>
    <t>Incendie : 23/09/2025 + 12/02/2026 . PPMS : 06/10/2025+ 07/04/2026</t>
  </si>
  <si>
    <t>géré par le siège</t>
  </si>
  <si>
    <t xml:space="preserve">impossibilité de mise en place de contrat d'entretien par DALKIA car attente de date de prise en main par EIFFAGE </t>
  </si>
  <si>
    <t>un courrier recommandé a été envoyer au 17/09/2025 avec un retour de leur part, mais pas d'intervention à ce jour (17/11/2025) (prochaine étape si non retour au 03/12/2025 appel à un cabinet d'avocat.</t>
  </si>
  <si>
    <t>vérification faite le 27/11 attente du rapport  scanné</t>
  </si>
  <si>
    <t>attente des plans conformes</t>
  </si>
  <si>
    <t>fin d'habilitation pour Anthony 02/04/2027 pour Florian 09/12/2028</t>
  </si>
  <si>
    <t>Attestation accessibilité handicapes</t>
  </si>
  <si>
    <t>construit après 1997</t>
  </si>
  <si>
    <t>envoyer la trame à Florian</t>
  </si>
  <si>
    <t>remise à jour à faire + attente du retour scanné</t>
  </si>
  <si>
    <t>à remettre à jour + attente retour scanné</t>
  </si>
  <si>
    <t xml:space="preserve">DES AB NLR Retour suite réunion de sécurité du </t>
  </si>
  <si>
    <t>demande de nouvelle date faite le 15/01/2026 mettre en place les tableaux de présence pour les professionnels et mettre en place un responsable qui sortira la liste des usagers présent à chaque exercie PPMS et incendie</t>
  </si>
  <si>
    <t>incendie : 22/09/2025 + 09/03/2026 . PPMS : 06/10/2025 + 16/03/2026 / faire un point sur la mise en place au regard des exercice de l'année passée</t>
  </si>
  <si>
    <t>lever les non conformitées devis transmis le 24/09/2025</t>
  </si>
  <si>
    <t>mail de proposition de date de d'intervention envoyé le 04/04/2025 avec validation du devis remplacement des cordes (mur non utilisé car plus de professeur depuis septembre)</t>
  </si>
  <si>
    <t>faire procédure</t>
  </si>
  <si>
    <t>non finalisé / dans la cellule de pilotage y incorporer la directrice + un CDS + une secrétaire de chaque site + le responsable sécurité</t>
  </si>
  <si>
    <t xml:space="preserve">une fois la cellule de crise remise en place il faudra remettre à jour le DUERP </t>
  </si>
  <si>
    <t>DES AB internat Retour suite réunion de sécurité du 02/05/2025</t>
  </si>
  <si>
    <t>contacter la mairie pour récuprer le rapport de la sous commision de sécurité et lever les prescription Catégorie 4 TypeJ</t>
  </si>
  <si>
    <t>Incendie : 03/09/2025 + 06/03/2026 PPMS : 08/10/2025 + 08/04/2026</t>
  </si>
  <si>
    <t>Lever les remarques</t>
  </si>
  <si>
    <t>non finalisé</t>
  </si>
  <si>
    <t xml:space="preserve">DES AB CHARTRES Retour suite réunion de sécurité du </t>
  </si>
  <si>
    <t>NC</t>
  </si>
  <si>
    <t>incendie : 11/09/2025+ 12/03/2026 . PPMS : 09/10/2025 + 09/04/2026</t>
  </si>
  <si>
    <t>appeler APAPVE pour voir ce qui se passe et prndre RDV</t>
  </si>
  <si>
    <t>pas de rapport appeler ACIER et envoyer devis pour remplacement batterie</t>
  </si>
  <si>
    <t>mail envoyé à DALKIA le 25/11/2025 pour avoir un accès à l'espace client</t>
  </si>
  <si>
    <t>protéger canalisation cuivre GAZ sur les sorties de terre (2m)</t>
  </si>
  <si>
    <t>panneau déjà mis en place</t>
  </si>
  <si>
    <t>faire photo et mettre en ligne et sur procédure d'évacuation</t>
  </si>
  <si>
    <t>à faire Guillaume</t>
  </si>
  <si>
    <t>prochain recyclage 2026.12</t>
  </si>
  <si>
    <t>mettre en place une feuille d'émargement</t>
  </si>
  <si>
    <t>voir dans documents d'achat</t>
  </si>
  <si>
    <t>refaire la procédure en y mettant les plans d'interventions</t>
  </si>
  <si>
    <t>faire la procédure et la mettre en ligne</t>
  </si>
  <si>
    <t>manque plan d'action</t>
  </si>
  <si>
    <t xml:space="preserve">DES AB VERNOUILLET Retour suite réunion de sécurité du </t>
  </si>
  <si>
    <t>incendie : 11/09/2025 + 12/03/2026 PPMS : 09/10/2025 + 09/04/2026</t>
  </si>
  <si>
    <t>lever non conformités</t>
  </si>
  <si>
    <t>pas de rapport demander à PCS</t>
  </si>
  <si>
    <t>voir si obligation avec APAVE</t>
  </si>
  <si>
    <t>faire faire un devis à APAVE</t>
  </si>
  <si>
    <t>à faire</t>
  </si>
  <si>
    <t>à faire tous les ans</t>
  </si>
  <si>
    <t>DES AB 2SAI Retour suite réunion de sécurité du</t>
  </si>
  <si>
    <t>incendie : 11/09/2025 + 12/03/2026 . PPMS : 09/10/2025 + 09/04/2026</t>
  </si>
  <si>
    <t>voir remarque sur le différenciel 30mA + raccorder les terre sur un barreau de terre</t>
  </si>
  <si>
    <t>pas de formé à ce jour</t>
  </si>
  <si>
    <t>à faire lors de l'exercice incendie (préparer feuille d'émargement et scanner)</t>
  </si>
  <si>
    <t>en location</t>
  </si>
  <si>
    <t>CMPP DREUX Retour suite réunion de sécurité du 27/05/2025</t>
  </si>
  <si>
    <t>obligation de 2 exercices par an</t>
  </si>
  <si>
    <t>pas d'exercice à ce jour en cour de mis en place (il faut faire 2 exercices par an : 1 pour intrusion et 1 pour confinement)</t>
  </si>
  <si>
    <t>Incendie: deuxième semaine de septembre PPMS : en cour</t>
  </si>
  <si>
    <t>attention des remarques dangeureuses sont à lever</t>
  </si>
  <si>
    <t>contacter PCS pour faire poser un disconnecteur</t>
  </si>
  <si>
    <t>pas de scan de la liste d'émargement donc j'ai mis un doc EXCEL</t>
  </si>
  <si>
    <t>pas de scan de la liste d'émargement</t>
  </si>
  <si>
    <t>gérer par le siège</t>
  </si>
  <si>
    <t>pas de diag à ce jour. Attente de la ville le jour de la vente du bâtiment</t>
  </si>
  <si>
    <t>attente du retour scanné</t>
  </si>
  <si>
    <t>sera revu en 01/09/2025</t>
  </si>
  <si>
    <t>CMPP CHARTRES Retour suite réunion de sécurité du 13/05/2025</t>
  </si>
  <si>
    <t>présent</t>
  </si>
  <si>
    <t xml:space="preserve"> 18/10/2016 Catégorie5 TypeU</t>
  </si>
  <si>
    <t>Attention EUROFEU à également fait la vérifiation de vos BAES cette année, alors qu'ils sont déjà vérifiés par SOCOTEC. Il faudrait voir auprès de EUROFEU qu'il n'y ai pas un contrat en cour sur les BAES (ne conserver que l'entretien des extincteurs et de l'alarme).</t>
  </si>
  <si>
    <t>m'envoyer le RETEX est se sevir du RETEX de la biblio PEP28</t>
  </si>
  <si>
    <t>faire vérifier boitier alarme incendie en mainteance remarqué suite à l'exercice incendie</t>
  </si>
  <si>
    <t>Incendie : 01/09/2025 + 09/02/2026 PPMS: 01/09/2025 + 09/02/2026</t>
  </si>
  <si>
    <t>deux blocs de secours à remplacer</t>
  </si>
  <si>
    <t xml:space="preserve">faire faire une demande de devis de vérification annuel (attente du retour contrat + vérification scanné) </t>
  </si>
  <si>
    <t>est en place mais est à mettre dans SHAREPOINT (à faire par Guillaume)</t>
  </si>
  <si>
    <t>noter la formation dans registre de sécurité</t>
  </si>
  <si>
    <t>à faire par Guillaume</t>
  </si>
  <si>
    <t>reprendre les évenements indisirables dedans</t>
  </si>
  <si>
    <t>CMPP CHATEAUDUN Retour suite réunion de sécurité du 13/05/2025</t>
  </si>
  <si>
    <t>changer batterie</t>
  </si>
  <si>
    <t>Appeler EUROFEU car il n'y a pas eu de passage depuis longtemps</t>
  </si>
  <si>
    <t>choix de la direction de ne pas faire d'exercice</t>
  </si>
  <si>
    <t>lever les non-conformités (telecommande BAES à remplacer + refixer prise de courant bureau poly)</t>
  </si>
  <si>
    <t>attente de la photo scanné</t>
  </si>
  <si>
    <t>à remettre à jour au 10/2025</t>
  </si>
  <si>
    <t>attente retour scanné des personne formées</t>
  </si>
  <si>
    <t>je vais appeler le propriétaire: lecoq.2m@hotmail.com</t>
  </si>
  <si>
    <t>mettre en place une bannette aux issues de secours et y mettre la procédure d'évacuation contextualisée</t>
  </si>
  <si>
    <t>DITEP SENONCHES Retour suite réunion de sécurité du 03/05/2025</t>
  </si>
  <si>
    <t>faire le point sur la prescription 7 et voir s'il y a eu des changements ? + prescription 6-8 appeler SDIS pas compris ?</t>
  </si>
  <si>
    <t xml:space="preserve">Attention il y a des non-conformités à lever en lien avec SIEMENS voir </t>
  </si>
  <si>
    <t>Intervention prévue le 11/12 et 12/12</t>
  </si>
  <si>
    <t>remplacer les extincteurs HS (CO2 local SSI et cuisine)</t>
  </si>
  <si>
    <t>remplacer issue de secours (BAES ou Porte coupe feu??) à côté de la salle du personnel</t>
  </si>
  <si>
    <t>mettre en place caisse PPMS + mettre en place un moyen de bloquer le portail ouvert en cas de fuite</t>
  </si>
  <si>
    <t>Commande caisse PPMS en cours</t>
  </si>
  <si>
    <t>Incendie : 16/09/2025 + 02/02/2026 /  PPMS : 07/11/2025 + 19/03/2026</t>
  </si>
  <si>
    <t>pas de contrat, mail envoyé à SOCOTEC le 05/05/2026 en attente de réponse</t>
  </si>
  <si>
    <t>pas d'envoi scanné ou de photo du registre à ce jour</t>
  </si>
  <si>
    <t>Fait tous les mois, dernière vérif le 22/10/2025</t>
  </si>
  <si>
    <t>Attente rapport annuel 2025</t>
  </si>
  <si>
    <t>Attention il y a des non-conformités mettant en cause la sécurité, ce rapprocher d'un électricien compétant (FABIEN ELEC, LTE etc...)</t>
  </si>
  <si>
    <t>attente de passage + attente du rapport de vérif scanné</t>
  </si>
  <si>
    <t>Mail envoyé le 13/06/25 et relance par mail faite le 17/11/2025</t>
  </si>
  <si>
    <t>pas de contrat, mail envoyé à DEKRA le 05/05/2026 en attente de réponse</t>
  </si>
  <si>
    <t>GG</t>
  </si>
  <si>
    <t>envoyer liste d'émargement</t>
  </si>
  <si>
    <t>GG attente du retour scanné (contacter M TAILLEBOIS)</t>
  </si>
  <si>
    <t>Demande faite par mail le 17/11/2025</t>
  </si>
  <si>
    <t>à faire par M GATEAU</t>
  </si>
  <si>
    <t xml:space="preserve">attente retour scanné + créer une TO DO liste des axes d'amélioration  juste avant le sommaire </t>
  </si>
  <si>
    <t>finalisation MAJ 2025</t>
  </si>
  <si>
    <t>attente retour scanné</t>
  </si>
  <si>
    <t>MAJ 2025/groupes de travail en cours</t>
  </si>
  <si>
    <t>DITEP MORANCEZ Retour suite réunion de sécurité du 03/05/2025</t>
  </si>
  <si>
    <t>Attention à bien lever les prescriptions de la sous commission de sécurité</t>
  </si>
  <si>
    <t>prochaine triennale 2026.11</t>
  </si>
  <si>
    <t>manque RETEX prévoir un plan d'amélioration et définir un petit groupe de leader</t>
  </si>
  <si>
    <t>Prévoir une petite cellule de crise visant à mettre en place un plan d'amélioration + mettre en place caisse PPMS</t>
  </si>
  <si>
    <t>Incendie: 16/09/2025 + 03/02/2026   PPMS: 17/11/2025 + 27/03/2026</t>
  </si>
  <si>
    <t>manque contrat scanné + mail d'alerte sur les limitations de vérification</t>
  </si>
  <si>
    <t>test mensuel des blocs de secours obligatoire par le référent sécurité à noter dans le registre de sécurité et à retourner scanné</t>
  </si>
  <si>
    <t>manque contrat scanné</t>
  </si>
  <si>
    <t>manque rapport de ramonage</t>
  </si>
  <si>
    <t>manque contrat scanné + léver les remarques identifiées sur le rapport</t>
  </si>
  <si>
    <t>contrat à mettre en place attente du retour de rappport scanné + contrat</t>
  </si>
  <si>
    <t>formation à prioriser au veilleurs + m'envoyer la liste des formés</t>
  </si>
  <si>
    <t>formation  à remettre à jour (le faire lors des exercices incendie)</t>
  </si>
  <si>
    <t>GG à voir avec Émilie au siège</t>
  </si>
  <si>
    <t>Construit après 1997</t>
  </si>
  <si>
    <t xml:space="preserve">créer une procédure d'ouverture du portail en cas de coupure électrique </t>
  </si>
  <si>
    <t xml:space="preserve"> attente du retour scanné + créer une TO DO liste des axes d'amélioration  juste avant le sommaire </t>
  </si>
  <si>
    <t xml:space="preserve"> attente du retour scanné</t>
  </si>
  <si>
    <t>PISP DDAISP Retour suite réunion de sécurité du 10/06/2025</t>
  </si>
  <si>
    <t>Incendie : 09/09/2025 + 19/03/2026 et  PPMS : attente de date et mettre en place une caisse fonctionnelle</t>
  </si>
  <si>
    <t>Faire lever les non-conformités par un électricien mises en avant par SOCOTEC devis en attente de retour de LTE au 15/01/2026</t>
  </si>
  <si>
    <t>attente retour scanné contrat + date d'entretien dépasée faire intervenir + attente retour rapport scanné</t>
  </si>
  <si>
    <t>manque rapport de vérification</t>
  </si>
  <si>
    <t>voir puissance chaufferie et appeler SOCOTEC ou voir avec le chauffagiste s'il le fait</t>
  </si>
  <si>
    <t>mettre dans une bannette aux issues de scours avec la procédure incendie</t>
  </si>
  <si>
    <t>à mettre à l'affichage et dans l'annexe du registre</t>
  </si>
  <si>
    <t>GG voir au siège si document en place</t>
  </si>
  <si>
    <t>attente du retour de Marie-Luce et le rentrer sur SHAREPOINT (07/2025) et penser à intégrer une personne du secrétariat à la cellule de crise</t>
  </si>
  <si>
    <t>attente du retour de Marie-Luce et le rentrer sur SHAREPOINT (07/2025) puis l'imprimer</t>
  </si>
  <si>
    <t xml:space="preserve">Retour suite réunion de sécurité du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</si>
</sst>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
  </numFmts>
  <fonts count="13" x14ac:knownFonts="1">
    <font>
      <sz val="11"/>
      <color theme="1"/>
      <name val="Aptos Narrow"/>
      <family val="2"/>
      <scheme val="minor"/>
    </font>
    <font>
      <sz val="11"/>
      <name val="Aptos Narrow"/>
      <family val="2"/>
      <scheme val="minor"/>
    </font>
    <font>
      <sz val="11"/>
      <color rgb="FFFF0000"/>
      <name val="Aptos Narrow"/>
      <family val="2"/>
      <scheme val="minor"/>
    </font>
    <font>
      <sz val="20"/>
      <color theme="1"/>
      <name val="Aptos Narrow"/>
      <family val="2"/>
      <scheme val="minor"/>
    </font>
    <font>
      <sz val="11"/>
      <color rgb="FF000000"/>
      <name val="Aptos Narrow"/>
      <family val="2"/>
      <scheme val="minor"/>
    </font>
    <font>
      <sz val="11"/>
      <color theme="8" tint="0.39997558519241921"/>
      <name val="Aptos Narrow"/>
      <family val="2"/>
      <scheme val="minor"/>
    </font>
    <font>
      <sz val="11"/>
      <color rgb="FF242424"/>
      <name val="Aptos Narrow"/>
      <family val="2"/>
    </font>
    <font>
      <sz val="11"/>
      <color theme="1"/>
      <name val="Aptos Narrow"/>
      <family val="2"/>
      <scheme val="minor"/>
    </font>
    <font>
      <b/>
      <sz val="11"/>
      <color rgb="FF3C7D22"/>
      <name val="Aptos Narrow"/>
      <family val="2"/>
      <scheme val="minor"/>
    </font>
    <font>
      <b/>
      <sz val="11"/>
      <color rgb="FFFF0000"/>
      <name val="Aptos Narrow"/>
      <family val="2"/>
      <scheme val="minor"/>
    </font>
    <font>
      <sz val="11"/>
      <color theme="1"/>
      <name val="Aptos Narrow"/>
      <family val="2"/>
    </font>
    <font>
      <sz val="11"/>
      <color rgb="FF242424"/>
      <name val="Aptos Narrow"/>
      <charset val="1"/>
    </font>
    <font>
      <sz val="11"/>
      <color rgb="FF000000"/>
      <name val="Aptos Narrow"/>
      <charset val="1"/>
    </font>
  </fonts>
  <fills count="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style="medium">
        <color indexed="64"/>
      </right>
      <top style="thin">
        <color indexed="64"/>
      </top>
      <bottom/>
      <diagonal/>
    </border>
  </borders>
  <cellStyleXfs count="1">
    <xf numFmtId="0" fontId="0" fillId="0" borderId="0"/>
  </cellStyleXfs>
  <cellXfs count="136">
    <xf numFmtId="0" fontId="0" fillId="0" borderId="0" xfId="0"/>
    <xf numFmtId="0" fontId="0" fillId="0" borderId="1"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4" borderId="1" xfId="0" applyFill="1"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5" xfId="0" applyBorder="1" applyAlignment="1">
      <alignment horizontal="center" vertical="center" wrapText="1"/>
    </xf>
    <xf numFmtId="0" fontId="0" fillId="0" borderId="18"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5" xfId="0" applyBorder="1" applyAlignment="1">
      <alignment horizontal="center" vertical="center" wrapText="1"/>
    </xf>
    <xf numFmtId="0" fontId="0" fillId="0" borderId="21" xfId="0" applyBorder="1" applyAlignment="1">
      <alignment horizontal="center" vertical="center" wrapText="1"/>
    </xf>
    <xf numFmtId="0" fontId="0" fillId="0" borderId="5" xfId="0" applyBorder="1" applyAlignment="1">
      <alignment horizontal="center" vertical="center"/>
    </xf>
    <xf numFmtId="0" fontId="2" fillId="0" borderId="0" xfId="0" applyFont="1"/>
    <xf numFmtId="0" fontId="0" fillId="0" borderId="20" xfId="0" applyBorder="1"/>
    <xf numFmtId="0" fontId="0" fillId="0" borderId="15" xfId="0" applyBorder="1" applyAlignment="1">
      <alignment horizontal="center"/>
    </xf>
    <xf numFmtId="0" fontId="0" fillId="0" borderId="17" xfId="0" applyBorder="1" applyAlignment="1">
      <alignment horizontal="center"/>
    </xf>
    <xf numFmtId="0" fontId="0" fillId="0" borderId="17" xfId="0" applyBorder="1" applyAlignment="1">
      <alignment horizontal="left" vertical="center"/>
    </xf>
    <xf numFmtId="0" fontId="0" fillId="0" borderId="17" xfId="0" applyBorder="1"/>
    <xf numFmtId="0" fontId="0" fillId="2" borderId="2" xfId="0" applyFill="1" applyBorder="1" applyAlignment="1">
      <alignment horizontal="center" vertical="center"/>
    </xf>
    <xf numFmtId="0" fontId="0" fillId="0" borderId="27" xfId="0" applyBorder="1" applyAlignment="1">
      <alignment vertical="center"/>
    </xf>
    <xf numFmtId="0" fontId="0" fillId="0" borderId="34" xfId="0" applyBorder="1" applyAlignment="1">
      <alignment vertical="center" wrapText="1"/>
    </xf>
    <xf numFmtId="0" fontId="0" fillId="0" borderId="27" xfId="0" applyBorder="1" applyAlignment="1">
      <alignment vertical="center" wrapText="1"/>
    </xf>
    <xf numFmtId="0" fontId="0" fillId="0" borderId="34" xfId="0" applyBorder="1" applyAlignment="1">
      <alignment vertical="center"/>
    </xf>
    <xf numFmtId="0" fontId="0" fillId="0" borderId="22" xfId="0" applyBorder="1" applyAlignment="1">
      <alignment vertical="center"/>
    </xf>
    <xf numFmtId="0" fontId="0" fillId="0" borderId="28" xfId="0" applyBorder="1" applyAlignment="1">
      <alignment vertical="center"/>
    </xf>
    <xf numFmtId="0" fontId="0" fillId="0" borderId="35" xfId="0" applyBorder="1" applyAlignment="1">
      <alignment vertical="center" wrapText="1"/>
    </xf>
    <xf numFmtId="0" fontId="0" fillId="0" borderId="28" xfId="0" applyBorder="1" applyAlignment="1">
      <alignment vertical="center" wrapText="1"/>
    </xf>
    <xf numFmtId="0" fontId="0" fillId="0" borderId="35" xfId="0" applyBorder="1" applyAlignment="1">
      <alignment vertical="center"/>
    </xf>
    <xf numFmtId="0" fontId="0" fillId="0" borderId="23" xfId="0" applyBorder="1" applyAlignment="1">
      <alignment vertical="center"/>
    </xf>
    <xf numFmtId="164" fontId="1" fillId="0" borderId="15" xfId="0" applyNumberFormat="1" applyFont="1" applyBorder="1" applyAlignment="1">
      <alignment horizontal="center" vertical="center"/>
    </xf>
    <xf numFmtId="164" fontId="0" fillId="0" borderId="28" xfId="0" applyNumberFormat="1" applyBorder="1" applyAlignment="1">
      <alignment vertical="center" wrapText="1"/>
    </xf>
    <xf numFmtId="164" fontId="0" fillId="0" borderId="35" xfId="0" applyNumberFormat="1" applyBorder="1" applyAlignment="1">
      <alignment vertical="center"/>
    </xf>
    <xf numFmtId="14" fontId="0" fillId="0" borderId="17" xfId="0" applyNumberFormat="1" applyBorder="1" applyAlignment="1">
      <alignment horizontal="center" vertical="center"/>
    </xf>
    <xf numFmtId="14" fontId="1" fillId="0" borderId="15" xfId="0" applyNumberFormat="1" applyFont="1" applyBorder="1" applyAlignment="1">
      <alignment horizontal="center" vertical="center"/>
    </xf>
    <xf numFmtId="14" fontId="0" fillId="0" borderId="16" xfId="0" applyNumberFormat="1" applyBorder="1" applyAlignment="1">
      <alignment horizontal="center" vertical="center"/>
    </xf>
    <xf numFmtId="0" fontId="0" fillId="0" borderId="15" xfId="0" applyBorder="1" applyAlignment="1">
      <alignment horizontal="left"/>
    </xf>
    <xf numFmtId="0" fontId="0" fillId="0" borderId="17" xfId="0" applyBorder="1" applyAlignment="1">
      <alignment horizontal="left"/>
    </xf>
    <xf numFmtId="0" fontId="0" fillId="0" borderId="20" xfId="0" applyBorder="1" applyAlignment="1">
      <alignment horizontal="left"/>
    </xf>
    <xf numFmtId="14" fontId="0" fillId="0" borderId="15" xfId="0" applyNumberFormat="1" applyBorder="1" applyAlignment="1">
      <alignment horizontal="left"/>
    </xf>
    <xf numFmtId="0" fontId="0" fillId="5" borderId="2" xfId="0" applyFill="1" applyBorder="1" applyAlignment="1">
      <alignment horizontal="center" vertical="center"/>
    </xf>
    <xf numFmtId="164" fontId="0" fillId="0" borderId="22" xfId="0" applyNumberFormat="1" applyBorder="1" applyAlignment="1">
      <alignment vertical="center" wrapText="1"/>
    </xf>
    <xf numFmtId="164" fontId="0" fillId="0" borderId="23" xfId="0" applyNumberFormat="1" applyBorder="1" applyAlignment="1">
      <alignment vertical="center" wrapText="1"/>
    </xf>
    <xf numFmtId="0" fontId="5" fillId="3" borderId="1" xfId="0" applyFont="1" applyFill="1" applyBorder="1" applyAlignment="1">
      <alignment horizontal="center" vertical="center"/>
    </xf>
    <xf numFmtId="164" fontId="0" fillId="0" borderId="0" xfId="0" applyNumberFormat="1" applyAlignment="1">
      <alignment vertical="center"/>
    </xf>
    <xf numFmtId="164" fontId="0" fillId="0" borderId="37" xfId="0" applyNumberFormat="1" applyBorder="1" applyAlignment="1">
      <alignment vertical="center"/>
    </xf>
    <xf numFmtId="0" fontId="0" fillId="0" borderId="32" xfId="0" applyBorder="1" applyAlignment="1">
      <alignment horizontal="center" vertic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3" xfId="0" applyBorder="1" applyAlignment="1">
      <alignment horizontal="center" vertical="center"/>
    </xf>
    <xf numFmtId="17" fontId="0" fillId="0" borderId="15" xfId="0" applyNumberFormat="1" applyBorder="1" applyAlignment="1">
      <alignment horizontal="left"/>
    </xf>
    <xf numFmtId="0" fontId="6" fillId="0" borderId="0" xfId="0" applyFont="1"/>
    <xf numFmtId="0" fontId="0" fillId="0" borderId="21" xfId="0" applyBorder="1" applyAlignment="1">
      <alignment horizontal="left"/>
    </xf>
    <xf numFmtId="0" fontId="0" fillId="0" borderId="19" xfId="0" applyBorder="1" applyAlignment="1">
      <alignment horizontal="left" vertical="center"/>
    </xf>
    <xf numFmtId="0" fontId="7" fillId="0" borderId="19" xfId="0" applyFont="1" applyBorder="1" applyAlignment="1">
      <alignment horizontal="left"/>
    </xf>
    <xf numFmtId="0" fontId="0" fillId="0" borderId="12" xfId="0" applyBorder="1" applyAlignment="1">
      <alignment horizontal="left"/>
    </xf>
    <xf numFmtId="0" fontId="0" fillId="0" borderId="19" xfId="0" applyBorder="1" applyAlignment="1">
      <alignment horizontal="left"/>
    </xf>
    <xf numFmtId="0" fontId="4" fillId="0" borderId="19" xfId="0" applyFont="1" applyBorder="1" applyAlignment="1">
      <alignment horizontal="left" vertical="center"/>
    </xf>
    <xf numFmtId="0" fontId="9" fillId="0" borderId="19" xfId="0" applyFont="1" applyBorder="1" applyAlignment="1">
      <alignment horizontal="left" vertical="center"/>
    </xf>
    <xf numFmtId="0" fontId="10" fillId="0" borderId="19" xfId="0" applyFont="1" applyBorder="1" applyAlignment="1">
      <alignment horizontal="left" vertical="center"/>
    </xf>
    <xf numFmtId="0" fontId="8" fillId="0" borderId="19" xfId="0" applyFont="1" applyBorder="1" applyAlignment="1">
      <alignment horizontal="left" vertical="center"/>
    </xf>
    <xf numFmtId="14" fontId="1" fillId="0" borderId="26" xfId="0" applyNumberFormat="1" applyFont="1" applyBorder="1" applyAlignment="1">
      <alignment horizontal="center" vertical="center"/>
    </xf>
    <xf numFmtId="14" fontId="1" fillId="0" borderId="20" xfId="0" applyNumberFormat="1" applyFont="1" applyBorder="1" applyAlignment="1">
      <alignment horizontal="center" vertical="center"/>
    </xf>
    <xf numFmtId="0" fontId="0" fillId="0" borderId="26" xfId="0" applyBorder="1" applyAlignment="1">
      <alignment horizontal="center" vertical="center"/>
    </xf>
    <xf numFmtId="0" fontId="0" fillId="0" borderId="38" xfId="0" applyBorder="1" applyAlignment="1">
      <alignment horizontal="center" vertical="center"/>
    </xf>
    <xf numFmtId="164" fontId="0" fillId="4" borderId="23" xfId="0" applyNumberFormat="1" applyFill="1" applyBorder="1" applyAlignment="1">
      <alignment vertical="center" wrapText="1"/>
    </xf>
    <xf numFmtId="164" fontId="0" fillId="4" borderId="28" xfId="0" applyNumberFormat="1" applyFill="1" applyBorder="1" applyAlignment="1">
      <alignment vertical="center" wrapText="1"/>
    </xf>
    <xf numFmtId="164" fontId="0" fillId="4" borderId="35" xfId="0" applyNumberFormat="1" applyFill="1" applyBorder="1" applyAlignment="1">
      <alignment vertical="center"/>
    </xf>
    <xf numFmtId="164" fontId="1" fillId="0" borderId="26" xfId="0" applyNumberFormat="1" applyFont="1" applyBorder="1" applyAlignment="1">
      <alignment horizontal="center" vertical="center"/>
    </xf>
    <xf numFmtId="164" fontId="0" fillId="0" borderId="22" xfId="0" applyNumberFormat="1" applyBorder="1" applyAlignment="1">
      <alignment vertical="center"/>
    </xf>
    <xf numFmtId="164" fontId="0" fillId="0" borderId="23" xfId="0" applyNumberFormat="1" applyBorder="1" applyAlignment="1">
      <alignment vertical="center"/>
    </xf>
    <xf numFmtId="164" fontId="0" fillId="4" borderId="23" xfId="0" applyNumberFormat="1" applyFill="1" applyBorder="1" applyAlignment="1">
      <alignment vertical="center"/>
    </xf>
    <xf numFmtId="164" fontId="0" fillId="4" borderId="0" xfId="0" applyNumberFormat="1" applyFill="1" applyAlignment="1">
      <alignment vertical="center"/>
    </xf>
    <xf numFmtId="164" fontId="0" fillId="4" borderId="24" xfId="0" applyNumberFormat="1" applyFill="1" applyBorder="1" applyAlignment="1">
      <alignment vertical="center" wrapText="1"/>
    </xf>
    <xf numFmtId="164" fontId="0" fillId="4" borderId="29" xfId="0" applyNumberFormat="1" applyFill="1" applyBorder="1" applyAlignment="1">
      <alignment vertical="center" wrapText="1"/>
    </xf>
    <xf numFmtId="164" fontId="0" fillId="4" borderId="36" xfId="0" applyNumberFormat="1" applyFill="1" applyBorder="1" applyAlignment="1">
      <alignment vertical="center"/>
    </xf>
    <xf numFmtId="164" fontId="0" fillId="4" borderId="24" xfId="0" applyNumberFormat="1" applyFill="1" applyBorder="1" applyAlignment="1">
      <alignment vertical="center"/>
    </xf>
    <xf numFmtId="165" fontId="1" fillId="0" borderId="20" xfId="0" applyNumberFormat="1" applyFont="1" applyBorder="1" applyAlignment="1">
      <alignment horizontal="center" vertical="center"/>
    </xf>
    <xf numFmtId="0" fontId="0" fillId="0" borderId="15" xfId="0" applyBorder="1" applyProtection="1">
      <protection locked="0"/>
    </xf>
    <xf numFmtId="0" fontId="0" fillId="0" borderId="17" xfId="0" applyBorder="1" applyProtection="1">
      <protection locked="0"/>
    </xf>
    <xf numFmtId="0" fontId="0" fillId="0" borderId="16" xfId="0" applyBorder="1" applyProtection="1">
      <protection locked="0"/>
    </xf>
    <xf numFmtId="0" fontId="4" fillId="0" borderId="15" xfId="0" applyFont="1" applyBorder="1" applyProtection="1">
      <protection locked="0"/>
    </xf>
    <xf numFmtId="0" fontId="4" fillId="0" borderId="17" xfId="0" applyFont="1" applyBorder="1" applyProtection="1">
      <protection locked="0"/>
    </xf>
    <xf numFmtId="0" fontId="4" fillId="0" borderId="16" xfId="0" applyFont="1" applyBorder="1" applyProtection="1">
      <protection locked="0"/>
    </xf>
    <xf numFmtId="0" fontId="0" fillId="0" borderId="17" xfId="0" applyBorder="1" applyAlignment="1">
      <alignment horizontal="left" wrapText="1"/>
    </xf>
    <xf numFmtId="0" fontId="2" fillId="0" borderId="17" xfId="0" applyFont="1" applyBorder="1" applyProtection="1">
      <protection locked="0"/>
    </xf>
    <xf numFmtId="0" fontId="11" fillId="0" borderId="0" xfId="0" applyFont="1"/>
    <xf numFmtId="0" fontId="12" fillId="0" borderId="0" xfId="0" applyFont="1"/>
    <xf numFmtId="0" fontId="4" fillId="0" borderId="22" xfId="0" applyFont="1" applyBorder="1" applyAlignment="1">
      <alignment horizontal="center" vertical="center"/>
    </xf>
    <xf numFmtId="0" fontId="4" fillId="0" borderId="24" xfId="0" applyFont="1" applyBorder="1" applyAlignment="1">
      <alignment horizontal="center" vertical="center"/>
    </xf>
    <xf numFmtId="0" fontId="0" fillId="0" borderId="6" xfId="0" applyBorder="1" applyAlignment="1">
      <alignment horizontal="left" vertical="center"/>
    </xf>
    <xf numFmtId="0" fontId="0" fillId="0" borderId="8" xfId="0" applyBorder="1" applyAlignment="1">
      <alignment horizontal="left" vertical="center"/>
    </xf>
    <xf numFmtId="0" fontId="5" fillId="3" borderId="19" xfId="0" applyFont="1" applyFill="1" applyBorder="1" applyAlignment="1">
      <alignment horizontal="left" vertical="center"/>
    </xf>
    <xf numFmtId="0" fontId="5" fillId="3" borderId="20" xfId="0" applyFont="1" applyFill="1" applyBorder="1" applyAlignment="1">
      <alignment horizontal="lef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18" xfId="0" applyBorder="1" applyAlignment="1">
      <alignment horizontal="center" vertical="center"/>
    </xf>
    <xf numFmtId="0" fontId="0" fillId="2" borderId="3" xfId="0" applyFill="1" applyBorder="1" applyAlignment="1">
      <alignment horizontal="left" vertical="center"/>
    </xf>
    <xf numFmtId="0" fontId="0" fillId="2" borderId="5" xfId="0" applyFill="1" applyBorder="1" applyAlignment="1">
      <alignment horizontal="left" vertical="center"/>
    </xf>
    <xf numFmtId="0" fontId="0" fillId="5" borderId="9" xfId="0" applyFill="1" applyBorder="1" applyAlignment="1">
      <alignment horizontal="left" vertical="center"/>
    </xf>
    <xf numFmtId="0" fontId="0" fillId="5" borderId="10" xfId="0" applyFill="1" applyBorder="1" applyAlignment="1">
      <alignment horizontal="left" vertical="center"/>
    </xf>
    <xf numFmtId="0" fontId="0" fillId="4" borderId="9" xfId="0" applyFill="1" applyBorder="1" applyAlignment="1">
      <alignment horizontal="left" vertical="center"/>
    </xf>
    <xf numFmtId="0" fontId="0" fillId="4" borderId="10" xfId="0" applyFill="1" applyBorder="1" applyAlignment="1">
      <alignment horizontal="left" vertical="center"/>
    </xf>
    <xf numFmtId="0" fontId="0" fillId="0" borderId="21"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3" fillId="0" borderId="3"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27" xfId="0" applyBorder="1" applyAlignment="1">
      <alignment horizontal="center" vertical="center"/>
    </xf>
    <xf numFmtId="0" fontId="0" fillId="0" borderId="29" xfId="0" applyBorder="1" applyAlignment="1">
      <alignment horizontal="center" vertical="center"/>
    </xf>
    <xf numFmtId="0" fontId="5" fillId="3" borderId="12" xfId="0" applyFont="1" applyFill="1" applyBorder="1" applyAlignment="1">
      <alignment horizontal="left" vertical="center"/>
    </xf>
    <xf numFmtId="0" fontId="0" fillId="0" borderId="14" xfId="0" applyBorder="1" applyAlignment="1">
      <alignment horizontal="left" vertical="center"/>
    </xf>
    <xf numFmtId="0" fontId="0" fillId="2" borderId="13" xfId="0" applyFill="1" applyBorder="1" applyAlignment="1">
      <alignment horizontal="left" vertical="center"/>
    </xf>
    <xf numFmtId="0" fontId="0" fillId="5" borderId="11" xfId="0" applyFill="1" applyBorder="1" applyAlignment="1">
      <alignment horizontal="left" vertical="center"/>
    </xf>
    <xf numFmtId="0" fontId="0" fillId="4" borderId="11" xfId="0" applyFill="1" applyBorder="1" applyAlignment="1">
      <alignment horizontal="left" vertical="center"/>
    </xf>
  </cellXfs>
  <cellStyles count="1">
    <cellStyle name="Normal" xfId="0" builtinId="0"/>
  </cellStyles>
  <dxfs count="376">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ont>
        <color theme="8" tint="0.39994506668294322"/>
      </font>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theme="8" tint="0.39994506668294322"/>
      </font>
    </dxf>
    <dxf>
      <font>
        <color theme="8" tint="0.39994506668294322"/>
      </font>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ont>
        <color theme="8" tint="0.39994506668294322"/>
      </font>
    </dxf>
    <dxf>
      <font>
        <color theme="8" tint="0.39994506668294322"/>
      </font>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ont>
        <color theme="8" tint="0.39994506668294322"/>
      </font>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theme="8" tint="0.39994506668294322"/>
      </font>
    </dxf>
    <dxf>
      <font>
        <color theme="8" tint="0.39994506668294322"/>
      </font>
    </dxf>
    <dxf>
      <font>
        <color theme="8" tint="0.39994506668294322"/>
      </font>
    </dxf>
    <dxf>
      <font>
        <color theme="8" tint="0.39994506668294322"/>
      </font>
    </dxf>
    <dxf>
      <fill>
        <patternFill>
          <bgColor rgb="FFFF0000"/>
        </patternFill>
      </fill>
    </dxf>
    <dxf>
      <fill>
        <patternFill>
          <bgColor rgb="FFFFFF00"/>
        </patternFill>
      </fill>
    </dxf>
    <dxf>
      <fill>
        <patternFill>
          <bgColor rgb="FF00B050"/>
        </patternFill>
      </fill>
    </dxf>
    <dxf>
      <font>
        <color theme="8" tint="0.39994506668294322"/>
      </font>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ont>
        <color theme="8" tint="0.39994506668294322"/>
      </font>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0000"/>
        </patternFill>
      </fill>
    </dxf>
    <dxf>
      <font>
        <color theme="8" tint="0.39994506668294322"/>
      </font>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ont>
        <color theme="8" tint="0.39994506668294322"/>
      </font>
    </dxf>
    <dxf>
      <font>
        <color theme="8" tint="0.39994506668294322"/>
      </font>
    </dxf>
    <dxf>
      <font>
        <color theme="8" tint="0.39994506668294322"/>
      </font>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theme="8" tint="0.39994506668294322"/>
      </font>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B050"/>
        </patternFill>
      </fill>
    </dxf>
    <dxf>
      <font>
        <color theme="8" tint="0.399945066682943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5F74C-C6C5-4B97-A4FD-BD587D6A3F9E}">
  <dimension ref="A1:AB51"/>
  <sheetViews>
    <sheetView tabSelected="1" zoomScale="70" zoomScaleNormal="70" workbookViewId="0">
      <pane xSplit="2" ySplit="2" topLeftCell="C3" activePane="bottomRight" state="frozen"/>
      <selection pane="topRight" activeCell="C1" sqref="C1"/>
      <selection pane="bottomLeft" activeCell="A3" sqref="A3"/>
      <selection pane="bottomRight" activeCell="AC10" sqref="AC10"/>
    </sheetView>
  </sheetViews>
  <sheetFormatPr baseColWidth="10" defaultColWidth="11.44140625" defaultRowHeight="14.4" x14ac:dyDescent="0.3"/>
  <cols>
    <col min="1" max="1" width="63.88671875" bestFit="1" customWidth="1"/>
    <col min="2" max="2" width="25" bestFit="1" customWidth="1"/>
    <col min="3" max="3" width="12.44140625" bestFit="1" customWidth="1"/>
    <col min="4" max="4" width="2.6640625" customWidth="1"/>
    <col min="5" max="6" width="12.88671875" bestFit="1" customWidth="1"/>
    <col min="7" max="7" width="13.44140625" bestFit="1" customWidth="1"/>
    <col min="8" max="8" width="12.88671875" bestFit="1" customWidth="1"/>
    <col min="9" max="9" width="2.6640625" customWidth="1"/>
    <col min="10" max="10" width="12.88671875" bestFit="1" customWidth="1"/>
    <col min="11" max="11" width="2.6640625" customWidth="1"/>
    <col min="12" max="14" width="12.88671875" bestFit="1" customWidth="1"/>
    <col min="15" max="15" width="15.33203125" bestFit="1" customWidth="1"/>
    <col min="16" max="16" width="12.88671875" bestFit="1" customWidth="1"/>
    <col min="17" max="17" width="2.6640625" customWidth="1"/>
    <col min="18" max="18" width="12.88671875" bestFit="1" customWidth="1"/>
    <col min="19" max="19" width="2.6640625" customWidth="1"/>
    <col min="20" max="20" width="12.88671875" bestFit="1" customWidth="1"/>
    <col min="21" max="21" width="15.33203125" bestFit="1" customWidth="1"/>
    <col min="22" max="22" width="2.6640625" customWidth="1"/>
    <col min="23" max="23" width="14" bestFit="1" customWidth="1"/>
    <col min="24" max="24" width="12.88671875" bestFit="1" customWidth="1"/>
    <col min="25" max="25" width="2.6640625" customWidth="1"/>
    <col min="26" max="27" width="12.44140625" bestFit="1" customWidth="1"/>
    <col min="28" max="28" width="9.6640625" bestFit="1" customWidth="1"/>
  </cols>
  <sheetData>
    <row r="1" spans="1:28" ht="29.4" customHeight="1" x14ac:dyDescent="0.3">
      <c r="A1" s="126" t="s">
        <v>0</v>
      </c>
      <c r="B1" s="127"/>
      <c r="C1" s="71" t="s">
        <v>1</v>
      </c>
      <c r="D1" s="28"/>
      <c r="E1" s="119" t="s">
        <v>2</v>
      </c>
      <c r="F1" s="120"/>
      <c r="G1" s="120"/>
      <c r="H1" s="121"/>
      <c r="I1" s="29"/>
      <c r="J1" s="14" t="s">
        <v>3</v>
      </c>
      <c r="K1" s="30"/>
      <c r="L1" s="122" t="s">
        <v>4</v>
      </c>
      <c r="M1" s="123"/>
      <c r="N1" s="123"/>
      <c r="O1" s="123"/>
      <c r="P1" s="103"/>
      <c r="Q1" s="31"/>
      <c r="R1" s="14" t="s">
        <v>5</v>
      </c>
      <c r="S1" s="30"/>
      <c r="T1" s="19" t="s">
        <v>6</v>
      </c>
      <c r="U1" s="18" t="s">
        <v>6</v>
      </c>
      <c r="V1" s="29"/>
      <c r="W1" s="102" t="s">
        <v>7</v>
      </c>
      <c r="X1" s="103"/>
      <c r="Y1" s="32"/>
      <c r="Z1" s="122" t="s">
        <v>8</v>
      </c>
      <c r="AA1" s="124"/>
      <c r="AB1" s="125"/>
    </row>
    <row r="2" spans="1:28" ht="29.4" customHeight="1" thickBot="1" x14ac:dyDescent="0.35">
      <c r="A2" s="104"/>
      <c r="B2" s="128"/>
      <c r="C2" s="72"/>
      <c r="D2" s="33"/>
      <c r="E2" s="3" t="s">
        <v>9</v>
      </c>
      <c r="F2" s="4" t="s">
        <v>10</v>
      </c>
      <c r="G2" s="4" t="s">
        <v>11</v>
      </c>
      <c r="H2" s="5" t="s">
        <v>12</v>
      </c>
      <c r="I2" s="34"/>
      <c r="J2" s="12"/>
      <c r="K2" s="35"/>
      <c r="L2" s="16" t="s">
        <v>13</v>
      </c>
      <c r="M2" s="54" t="s">
        <v>12</v>
      </c>
      <c r="N2" s="55" t="s">
        <v>14</v>
      </c>
      <c r="O2" s="55" t="s">
        <v>15</v>
      </c>
      <c r="P2" s="56" t="s">
        <v>16</v>
      </c>
      <c r="Q2" s="36"/>
      <c r="R2" s="12"/>
      <c r="S2" s="35"/>
      <c r="T2" s="16" t="s">
        <v>17</v>
      </c>
      <c r="U2" s="57" t="s">
        <v>18</v>
      </c>
      <c r="V2" s="34"/>
      <c r="W2" s="3" t="s">
        <v>19</v>
      </c>
      <c r="X2" s="5" t="s">
        <v>20</v>
      </c>
      <c r="Y2" s="37"/>
      <c r="Z2" s="3" t="s">
        <v>21</v>
      </c>
      <c r="AA2" s="4" t="s">
        <v>22</v>
      </c>
      <c r="AB2" s="5" t="s">
        <v>23</v>
      </c>
    </row>
    <row r="3" spans="1:28" x14ac:dyDescent="0.3">
      <c r="A3" s="2" t="s">
        <v>24</v>
      </c>
      <c r="B3" s="10" t="s">
        <v>25</v>
      </c>
      <c r="C3" s="69" t="str">
        <f>CDLA!C3</f>
        <v>X</v>
      </c>
      <c r="D3" s="52"/>
      <c r="E3" s="69" t="str">
        <f>'DAME-AF-SEES'!C3</f>
        <v>Présent</v>
      </c>
      <c r="F3" s="69" t="str">
        <f>'DAME-AF-SIPFP'!C3</f>
        <v>Présent</v>
      </c>
      <c r="G3" s="69" t="str">
        <f>'DAME-AF+GEM-Clémenceau'!C3</f>
        <v>X</v>
      </c>
      <c r="H3" s="69" t="str">
        <f>'DAME-AF-Internat'!C3</f>
        <v>X</v>
      </c>
      <c r="I3" s="49"/>
      <c r="J3" s="69" t="str">
        <f>'DAME-BD'!C3</f>
        <v>X</v>
      </c>
      <c r="K3" s="39"/>
      <c r="L3" s="69" t="str">
        <f>'DES-AB-NLR'!C3</f>
        <v>X</v>
      </c>
      <c r="M3" s="69">
        <f>'DES-AB-Internat'!C3</f>
        <v>44986</v>
      </c>
      <c r="N3" s="69" t="s">
        <v>26</v>
      </c>
      <c r="O3" s="69" t="str">
        <f>'DES-AB-VERNOUILLET'!C3</f>
        <v>NC</v>
      </c>
      <c r="P3" s="69" t="str">
        <f>'DES-AB-2SAI'!C3</f>
        <v>NC</v>
      </c>
      <c r="Q3" s="40"/>
      <c r="R3" s="69" t="str">
        <f>'CMPP-DREUX'!C3</f>
        <v>NC</v>
      </c>
      <c r="S3" s="39"/>
      <c r="T3" s="69" t="str">
        <f>'CMPP-CHARTRES'!C3</f>
        <v>présent</v>
      </c>
      <c r="U3" s="69" t="str">
        <f>'CMPP-CHATEAUDUN'!C3</f>
        <v>NC</v>
      </c>
      <c r="V3" s="49"/>
      <c r="W3" s="69">
        <f>'DITEP-SENONCHES'!C3</f>
        <v>45721</v>
      </c>
      <c r="X3" s="69">
        <f>'DITEP-MORANCEZ'!C3</f>
        <v>45581</v>
      </c>
      <c r="Y3" s="77"/>
      <c r="Z3" s="69" t="str">
        <f>'PISP-DDAISP-ESATHM'!C3</f>
        <v>NC</v>
      </c>
      <c r="AA3" s="69" t="str">
        <f>'PIPSP habitat inclusif'!C3</f>
        <v>X  Pas d'obligation</v>
      </c>
      <c r="AB3" s="69" t="s">
        <v>26</v>
      </c>
    </row>
    <row r="4" spans="1:28" x14ac:dyDescent="0.3">
      <c r="A4" s="6" t="s">
        <v>27</v>
      </c>
      <c r="B4" s="9" t="s">
        <v>28</v>
      </c>
      <c r="C4" s="70" t="str">
        <f>CDLA!C4</f>
        <v>X</v>
      </c>
      <c r="D4" s="52"/>
      <c r="E4" s="70" t="str">
        <f>'DAME-AF-SEES'!C4</f>
        <v>X</v>
      </c>
      <c r="F4" s="70" t="str">
        <f>'DAME-AF-SIPFP'!C4</f>
        <v>X</v>
      </c>
      <c r="G4" s="70" t="str">
        <f>'DAME-AF+GEM-Clémenceau'!C4</f>
        <v>X</v>
      </c>
      <c r="H4" s="70" t="str">
        <f>'DAME-AF-Internat'!C4</f>
        <v>X</v>
      </c>
      <c r="I4" s="50"/>
      <c r="J4" s="70" t="str">
        <f>'DAME-BD'!C4</f>
        <v>X</v>
      </c>
      <c r="K4" s="39"/>
      <c r="L4" s="70" t="str">
        <f>'DES-AB-NLR'!C4</f>
        <v>X</v>
      </c>
      <c r="M4" s="70">
        <f>'DES-AB-Internat'!C4</f>
        <v>45047</v>
      </c>
      <c r="N4" s="70" t="str">
        <f>'DES-AB-CHARTRES'!C4</f>
        <v>X</v>
      </c>
      <c r="O4" s="70" t="str">
        <f>'DES-AB-VERNOUILLET'!C4</f>
        <v>X</v>
      </c>
      <c r="P4" s="70" t="str">
        <f>'DES-AB-2SAI'!C4</f>
        <v>X</v>
      </c>
      <c r="Q4" s="40"/>
      <c r="R4" s="70" t="str">
        <f>'CMPP-DREUX'!C4</f>
        <v>X</v>
      </c>
      <c r="S4" s="39"/>
      <c r="T4" s="70" t="str">
        <f>'CMPP-CHARTRES'!C4</f>
        <v>X</v>
      </c>
      <c r="U4" s="70" t="str">
        <f>'CMPP-CHATEAUDUN'!C4</f>
        <v>X</v>
      </c>
      <c r="V4" s="50"/>
      <c r="W4" s="70">
        <f>'DITEP-SENONCHES'!C4</f>
        <v>46007</v>
      </c>
      <c r="X4" s="70">
        <f>'DITEP-MORANCEZ'!C4</f>
        <v>45231</v>
      </c>
      <c r="Y4" s="78"/>
      <c r="Z4" s="70" t="str">
        <f>'PISP-DDAISP-ESATHM'!C4</f>
        <v>X</v>
      </c>
      <c r="AA4" s="70" t="str">
        <f>'PIPSP habitat inclusif'!C4</f>
        <v>X  Pas d'obligation</v>
      </c>
      <c r="AB4" s="70" t="s">
        <v>26</v>
      </c>
    </row>
    <row r="5" spans="1:28" x14ac:dyDescent="0.3">
      <c r="A5" s="6" t="s">
        <v>29</v>
      </c>
      <c r="B5" s="9" t="s">
        <v>30</v>
      </c>
      <c r="C5" s="70">
        <f>CDLA!C5</f>
        <v>0</v>
      </c>
      <c r="D5" s="52"/>
      <c r="E5" s="70">
        <f>'DAME-AF-SEES'!C5</f>
        <v>46041</v>
      </c>
      <c r="F5" s="70">
        <f>'DAME-AF-SIPFP'!C5</f>
        <v>46028</v>
      </c>
      <c r="G5" s="70">
        <f>'DAME-AF+GEM-Clémenceau'!C5</f>
        <v>45988</v>
      </c>
      <c r="H5" s="70" t="str">
        <f>'DAME-AF-Internat'!C5</f>
        <v>X</v>
      </c>
      <c r="I5" s="73"/>
      <c r="J5" s="70">
        <f>'DAME-BD'!C5</f>
        <v>45728</v>
      </c>
      <c r="K5" s="74"/>
      <c r="L5" s="70">
        <f>'DES-AB-NLR'!C5</f>
        <v>45717</v>
      </c>
      <c r="M5" s="70">
        <f>'DES-AB-Internat'!C5</f>
        <v>45981</v>
      </c>
      <c r="N5" s="70">
        <f>'DES-AB-CHARTRES'!C5</f>
        <v>45911</v>
      </c>
      <c r="O5" s="70">
        <f>'DES-AB-VERNOUILLET'!C5</f>
        <v>45911</v>
      </c>
      <c r="P5" s="70">
        <f>'DES-AB-2SAI'!C5</f>
        <v>45911</v>
      </c>
      <c r="Q5" s="75"/>
      <c r="R5" s="70">
        <f>'CMPP-DREUX'!C5</f>
        <v>45566</v>
      </c>
      <c r="S5" s="74"/>
      <c r="T5" s="70">
        <f>'CMPP-CHARTRES'!C5</f>
        <v>46037</v>
      </c>
      <c r="U5" s="70">
        <f>'CMPP-CHATEAUDUN'!C5</f>
        <v>46043</v>
      </c>
      <c r="V5" s="73"/>
      <c r="W5" s="70">
        <f>'DITEP-SENONCHES'!C5</f>
        <v>45952</v>
      </c>
      <c r="X5" s="70">
        <f>'DITEP-MORANCEZ'!C5</f>
        <v>45790</v>
      </c>
      <c r="Y5" s="79"/>
      <c r="Z5" s="70">
        <f>'PISP-DDAISP-ESATHM'!C5</f>
        <v>45917</v>
      </c>
      <c r="AA5" s="70" t="str">
        <f>'PIPSP habitat inclusif'!C5</f>
        <v>X  Pas d'obligation</v>
      </c>
      <c r="AB5" s="70" t="s">
        <v>26</v>
      </c>
    </row>
    <row r="6" spans="1:28" x14ac:dyDescent="0.3">
      <c r="A6" s="6" t="s">
        <v>31</v>
      </c>
      <c r="B6" s="9" t="s">
        <v>30</v>
      </c>
      <c r="C6" s="70">
        <f>CDLA!C6</f>
        <v>45590</v>
      </c>
      <c r="D6" s="52"/>
      <c r="E6" s="70">
        <f>'DAME-AF-SEES'!C6</f>
        <v>45624</v>
      </c>
      <c r="F6" s="70">
        <f>'DAME-AF-SIPFP'!C6</f>
        <v>45597</v>
      </c>
      <c r="G6" s="70">
        <f>'DAME-AF+GEM-Clémenceau'!C6</f>
        <v>45614</v>
      </c>
      <c r="H6" s="70" t="str">
        <f>'DAME-AF-Internat'!C6</f>
        <v>X</v>
      </c>
      <c r="I6" s="73"/>
      <c r="J6" s="70">
        <f>'DAME-BD'!C6</f>
        <v>45505</v>
      </c>
      <c r="K6" s="74"/>
      <c r="L6" s="70">
        <f>'DES-AB-NLR'!C6</f>
        <v>45689</v>
      </c>
      <c r="M6" s="70">
        <f>'DES-AB-Internat'!C6</f>
        <v>45712</v>
      </c>
      <c r="N6" s="70">
        <f>'DES-AB-CHARTRES'!C6</f>
        <v>45689</v>
      </c>
      <c r="O6" s="70">
        <f>'DES-AB-VERNOUILLET'!C6</f>
        <v>45689</v>
      </c>
      <c r="P6" s="70">
        <f>'DES-AB-2SAI'!C6</f>
        <v>45689</v>
      </c>
      <c r="Q6" s="75"/>
      <c r="R6" s="70">
        <f>'CMPP-DREUX'!C6</f>
        <v>45536</v>
      </c>
      <c r="S6" s="74"/>
      <c r="T6" s="70">
        <f>'CMPP-CHARTRES'!C6</f>
        <v>45686</v>
      </c>
      <c r="U6" s="70">
        <f>'CMPP-CHATEAUDUN'!C6</f>
        <v>44682</v>
      </c>
      <c r="V6" s="73"/>
      <c r="W6" s="70">
        <f>'DITEP-SENONCHES'!C6</f>
        <v>46055</v>
      </c>
      <c r="X6" s="70">
        <f>'DITEP-MORANCEZ'!C6</f>
        <v>46035</v>
      </c>
      <c r="Y6" s="79"/>
      <c r="Z6" s="70">
        <f>'PISP-DDAISP-ESATHM'!C6</f>
        <v>45952</v>
      </c>
      <c r="AA6" s="70" t="str">
        <f>'PIPSP habitat inclusif'!C6</f>
        <v>X  Pas d'obligation</v>
      </c>
      <c r="AB6" s="70" t="s">
        <v>26</v>
      </c>
    </row>
    <row r="7" spans="1:28" x14ac:dyDescent="0.3">
      <c r="A7" s="6" t="s">
        <v>32</v>
      </c>
      <c r="B7" s="9" t="s">
        <v>30</v>
      </c>
      <c r="C7" s="70" t="str">
        <f>CDLA!C7</f>
        <v>X</v>
      </c>
      <c r="D7" s="52"/>
      <c r="E7" s="70" t="str">
        <f>'DAME-AF-SEES'!C7</f>
        <v>X</v>
      </c>
      <c r="F7" s="70" t="str">
        <f>'DAME-AF-SIPFP'!C7</f>
        <v>X</v>
      </c>
      <c r="G7" s="70" t="str">
        <f>'DAME-AF+GEM-Clémenceau'!C7</f>
        <v>X</v>
      </c>
      <c r="H7" s="70" t="str">
        <f>'DAME-AF-Internat'!C7</f>
        <v>X</v>
      </c>
      <c r="I7" s="73"/>
      <c r="J7" s="70" t="str">
        <f>'DAME-BD'!C7</f>
        <v>X</v>
      </c>
      <c r="K7" s="74"/>
      <c r="L7" s="70">
        <f>'DES-AB-NLR'!C7</f>
        <v>45689</v>
      </c>
      <c r="M7" s="70">
        <f>'DES-AB-Internat'!C7</f>
        <v>45712</v>
      </c>
      <c r="N7" s="70">
        <f>'DES-AB-CHARTRES'!C7</f>
        <v>45689</v>
      </c>
      <c r="O7" s="70" t="str">
        <f>'DES-AB-VERNOUILLET'!C7</f>
        <v>X</v>
      </c>
      <c r="P7" s="70" t="str">
        <f>'DES-AB-2SAI'!C7</f>
        <v>X</v>
      </c>
      <c r="Q7" s="75"/>
      <c r="R7" s="70" t="str">
        <f>'CMPP-DREUX'!C7</f>
        <v>X</v>
      </c>
      <c r="S7" s="74"/>
      <c r="T7" s="70" t="str">
        <f>'CMPP-CHARTRES'!C7</f>
        <v>X</v>
      </c>
      <c r="U7" s="70" t="str">
        <f>'CMPP-CHATEAUDUN'!C7</f>
        <v>X</v>
      </c>
      <c r="V7" s="73"/>
      <c r="W7" s="70">
        <f>'DITEP-SENONCHES'!C7</f>
        <v>45825</v>
      </c>
      <c r="X7" s="70" t="str">
        <f>'DITEP-MORANCEZ'!C7</f>
        <v>X</v>
      </c>
      <c r="Y7" s="79"/>
      <c r="Z7" s="70" t="str">
        <f>'PISP-DDAISP-ESATHM'!C7</f>
        <v>X</v>
      </c>
      <c r="AA7" s="70" t="str">
        <f>'PIPSP habitat inclusif'!C7</f>
        <v>X  Pas d'obligation</v>
      </c>
      <c r="AB7" s="70" t="s">
        <v>26</v>
      </c>
    </row>
    <row r="8" spans="1:28" x14ac:dyDescent="0.3">
      <c r="A8" s="111" t="s">
        <v>33</v>
      </c>
      <c r="B8" s="9">
        <v>1</v>
      </c>
      <c r="C8" s="70">
        <f>CDLA!C8</f>
        <v>45575</v>
      </c>
      <c r="D8" s="52"/>
      <c r="E8" s="70">
        <f>'DAME-AF-SEES'!C8</f>
        <v>45923</v>
      </c>
      <c r="F8" s="70">
        <f>'DAME-AF-SIPFP'!C8</f>
        <v>45923</v>
      </c>
      <c r="G8" s="70">
        <f>'DAME-AF+GEM-Clémenceau'!C8</f>
        <v>45923</v>
      </c>
      <c r="H8" s="70">
        <f>'DAME-AF-Internat'!C8</f>
        <v>45931</v>
      </c>
      <c r="I8" s="73"/>
      <c r="J8" s="70">
        <f>'DAME-BD'!C8</f>
        <v>45930</v>
      </c>
      <c r="K8" s="74"/>
      <c r="L8" s="70">
        <f>'DES-AB-NLR'!C8</f>
        <v>45536</v>
      </c>
      <c r="M8" s="70">
        <f>'DES-AB-Internat'!C8</f>
        <v>45903</v>
      </c>
      <c r="N8" s="70">
        <f>'DES-AB-CHARTRES'!C8</f>
        <v>45911</v>
      </c>
      <c r="O8" s="70">
        <f>'DES-AB-VERNOUILLET'!C8</f>
        <v>45911</v>
      </c>
      <c r="P8" s="70">
        <f>'DES-AB-2SAI'!C8</f>
        <v>45911</v>
      </c>
      <c r="Q8" s="75"/>
      <c r="R8" s="70">
        <f>'CMPP-DREUX'!C8</f>
        <v>45925</v>
      </c>
      <c r="S8" s="74"/>
      <c r="T8" s="70">
        <f>'CMPP-CHARTRES'!C8</f>
        <v>45540</v>
      </c>
      <c r="U8" s="70">
        <f>'CMPP-CHATEAUDUN'!C8</f>
        <v>43344</v>
      </c>
      <c r="V8" s="73"/>
      <c r="W8" s="70">
        <f>'DITEP-SENONCHES'!C8</f>
        <v>45692</v>
      </c>
      <c r="X8" s="70">
        <f>'DITEP-MORANCEZ'!C8</f>
        <v>45597</v>
      </c>
      <c r="Y8" s="79"/>
      <c r="Z8" s="70">
        <f>'PISP-DDAISP-ESATHM'!C8</f>
        <v>45909</v>
      </c>
      <c r="AA8" s="70" t="str">
        <f>'PIPSP habitat inclusif'!C8</f>
        <v>X  Pas d'obligation</v>
      </c>
      <c r="AB8" s="70" t="s">
        <v>26</v>
      </c>
    </row>
    <row r="9" spans="1:28" x14ac:dyDescent="0.3">
      <c r="A9" s="112"/>
      <c r="B9" s="9">
        <v>2</v>
      </c>
      <c r="C9" s="70">
        <f>CDLA!C9</f>
        <v>45744</v>
      </c>
      <c r="D9" s="52"/>
      <c r="E9" s="70">
        <f>'DAME-AF-SEES'!C9</f>
        <v>45803</v>
      </c>
      <c r="F9" s="70">
        <f>'DAME-AF-SIPFP'!C9</f>
        <v>45678</v>
      </c>
      <c r="G9" s="70">
        <f>'DAME-AF+GEM-Clémenceau'!C9</f>
        <v>45680</v>
      </c>
      <c r="H9" s="70">
        <f>'DAME-AF-Internat'!C9</f>
        <v>46087</v>
      </c>
      <c r="I9" s="73"/>
      <c r="J9" s="70">
        <f>'DAME-BD'!C9</f>
        <v>45744</v>
      </c>
      <c r="K9" s="74"/>
      <c r="L9" s="70">
        <f>'DES-AB-NLR'!C9</f>
        <v>45717</v>
      </c>
      <c r="M9" s="70">
        <f>'DES-AB-Internat'!C9</f>
        <v>46087</v>
      </c>
      <c r="N9" s="70">
        <f>'DES-AB-CHARTRES'!C9</f>
        <v>46093</v>
      </c>
      <c r="O9" s="70">
        <f>'DES-AB-VERNOUILLET'!C9</f>
        <v>46093</v>
      </c>
      <c r="P9" s="70">
        <f>'DES-AB-2SAI'!C9</f>
        <v>46093</v>
      </c>
      <c r="Q9" s="75"/>
      <c r="R9" s="70">
        <f>'CMPP-DREUX'!C9</f>
        <v>0</v>
      </c>
      <c r="S9" s="74"/>
      <c r="T9" s="70">
        <f>'CMPP-CHARTRES'!C9</f>
        <v>46114</v>
      </c>
      <c r="U9" s="70">
        <f>'CMPP-CHATEAUDUN'!C9</f>
        <v>0</v>
      </c>
      <c r="V9" s="73"/>
      <c r="W9" s="70">
        <f>'DITEP-SENONCHES'!C9</f>
        <v>46098</v>
      </c>
      <c r="X9" s="70">
        <f>'DITEP-MORANCEZ'!C9</f>
        <v>45721</v>
      </c>
      <c r="Y9" s="79"/>
      <c r="Z9" s="70">
        <f>'PISP-DDAISP-ESATHM'!C9</f>
        <v>0</v>
      </c>
      <c r="AA9" s="70" t="str">
        <f>'PIPSP habitat inclusif'!C9</f>
        <v>X  Pas d'obligation</v>
      </c>
      <c r="AB9" s="70" t="s">
        <v>26</v>
      </c>
    </row>
    <row r="10" spans="1:28" x14ac:dyDescent="0.3">
      <c r="A10" s="111" t="s">
        <v>34</v>
      </c>
      <c r="B10" s="9">
        <v>1</v>
      </c>
      <c r="C10" s="70">
        <f>CDLA!C10</f>
        <v>0</v>
      </c>
      <c r="D10" s="52"/>
      <c r="E10" s="70">
        <f>'DAME-AF-SEES'!C10</f>
        <v>45943</v>
      </c>
      <c r="F10" s="70">
        <f>'DAME-AF-SIPFP'!C10</f>
        <v>45943</v>
      </c>
      <c r="G10" s="70">
        <f>'DAME-AF+GEM-Clémenceau'!C10</f>
        <v>45943</v>
      </c>
      <c r="H10" s="70">
        <f>'DAME-AF-Internat'!C10</f>
        <v>45931</v>
      </c>
      <c r="I10" s="73"/>
      <c r="J10" s="70">
        <f>'DAME-BD'!C10</f>
        <v>45943</v>
      </c>
      <c r="K10" s="74"/>
      <c r="L10" s="70">
        <f>'DES-AB-NLR'!C10</f>
        <v>45936</v>
      </c>
      <c r="M10" s="70">
        <f>'DES-AB-Internat'!C10</f>
        <v>45931</v>
      </c>
      <c r="N10" s="70">
        <f>'DES-AB-CHARTRES'!C10</f>
        <v>45939</v>
      </c>
      <c r="O10" s="70">
        <f>'DES-AB-VERNOUILLET'!C10</f>
        <v>45939</v>
      </c>
      <c r="P10" s="70">
        <f>'DES-AB-2SAI'!C10</f>
        <v>45939</v>
      </c>
      <c r="Q10" s="75"/>
      <c r="R10" s="70">
        <f>'CMPP-DREUX'!C10</f>
        <v>0</v>
      </c>
      <c r="S10" s="74"/>
      <c r="T10" s="70">
        <f>'CMPP-CHARTRES'!C10</f>
        <v>45924</v>
      </c>
      <c r="U10" s="70">
        <f>'CMPP-CHATEAUDUN'!C10</f>
        <v>0</v>
      </c>
      <c r="V10" s="73"/>
      <c r="W10" s="70">
        <f>'DITEP-SENONCHES'!C10</f>
        <v>45981</v>
      </c>
      <c r="X10" s="70">
        <f>'DITEP-MORANCEZ'!C10</f>
        <v>46003</v>
      </c>
      <c r="Y10" s="79"/>
      <c r="Z10" s="70">
        <f>'PISP-DDAISP-ESATHM'!C10</f>
        <v>43617</v>
      </c>
      <c r="AA10" s="70" t="str">
        <f>'PIPSP habitat inclusif'!C10</f>
        <v>X  Pas d'obligation</v>
      </c>
      <c r="AB10" s="70" t="s">
        <v>26</v>
      </c>
    </row>
    <row r="11" spans="1:28" x14ac:dyDescent="0.3">
      <c r="A11" s="112"/>
      <c r="B11" s="9">
        <v>2</v>
      </c>
      <c r="C11" s="70">
        <f>CDLA!C11</f>
        <v>0</v>
      </c>
      <c r="D11" s="52"/>
      <c r="E11" s="70">
        <f>'DAME-AF-SEES'!C11</f>
        <v>0</v>
      </c>
      <c r="F11" s="70">
        <f>'DAME-AF-SIPFP'!C11</f>
        <v>0</v>
      </c>
      <c r="G11" s="70">
        <f>'DAME-AF+GEM-Clémenceau'!C11</f>
        <v>0</v>
      </c>
      <c r="H11" s="70">
        <f>'DAME-AF-Internat'!C11</f>
        <v>46146</v>
      </c>
      <c r="I11" s="73"/>
      <c r="J11" s="70">
        <f>'DAME-BD'!C11</f>
        <v>45671</v>
      </c>
      <c r="K11" s="74"/>
      <c r="L11" s="70">
        <f>'DES-AB-NLR'!C11</f>
        <v>46097</v>
      </c>
      <c r="M11" s="70">
        <f>'DES-AB-Internat'!C11</f>
        <v>46146</v>
      </c>
      <c r="N11" s="70">
        <f>'DES-AB-CHARTRES'!C11</f>
        <v>45750</v>
      </c>
      <c r="O11" s="70">
        <f>'DES-AB-VERNOUILLET'!C11</f>
        <v>45777</v>
      </c>
      <c r="P11" s="70">
        <f>'DES-AB-2SAI'!C11</f>
        <v>45750</v>
      </c>
      <c r="Q11" s="75"/>
      <c r="R11" s="70">
        <f>'CMPP-DREUX'!C11</f>
        <v>0</v>
      </c>
      <c r="S11" s="74"/>
      <c r="T11" s="70">
        <f>'CMPP-CHARTRES'!C11</f>
        <v>46128</v>
      </c>
      <c r="U11" s="70">
        <f>'CMPP-CHATEAUDUN'!C11</f>
        <v>0</v>
      </c>
      <c r="V11" s="73"/>
      <c r="W11" s="70">
        <f>'DITEP-SENONCHES'!C11</f>
        <v>0</v>
      </c>
      <c r="X11" s="70">
        <f>'DITEP-MORANCEZ'!C11</f>
        <v>46107</v>
      </c>
      <c r="Y11" s="79"/>
      <c r="Z11" s="70">
        <f>'PISP-DDAISP-ESATHM'!C11</f>
        <v>0</v>
      </c>
      <c r="AA11" s="70" t="str">
        <f>'PIPSP habitat inclusif'!C11</f>
        <v>X  Pas d'obligation</v>
      </c>
      <c r="AB11" s="70" t="s">
        <v>26</v>
      </c>
    </row>
    <row r="12" spans="1:28" x14ac:dyDescent="0.3">
      <c r="A12" s="15" t="s">
        <v>35</v>
      </c>
      <c r="B12" s="9" t="s">
        <v>36</v>
      </c>
      <c r="C12" s="70">
        <f>CDLA!C12</f>
        <v>45444</v>
      </c>
      <c r="D12" s="52"/>
      <c r="E12" s="70">
        <f>'DAME-AF-SEES'!C12</f>
        <v>45809</v>
      </c>
      <c r="F12" s="70">
        <f>'DAME-AF-SIPFP'!C12</f>
        <v>45809</v>
      </c>
      <c r="G12" s="70">
        <f>'DAME-AF+GEM-Clémenceau'!C12</f>
        <v>45809</v>
      </c>
      <c r="H12" s="70">
        <f>'DAME-AF-Internat'!C12</f>
        <v>45809</v>
      </c>
      <c r="I12" s="73"/>
      <c r="J12" s="70">
        <f>'DAME-BD'!C12</f>
        <v>45809</v>
      </c>
      <c r="K12" s="74"/>
      <c r="L12" s="70">
        <f>'DES-AB-NLR'!C12</f>
        <v>45809</v>
      </c>
      <c r="M12" s="70">
        <f>'DES-AB-Internat'!C12</f>
        <v>46174</v>
      </c>
      <c r="N12" s="70">
        <f>'DES-AB-CHARTRES'!C12</f>
        <v>45809</v>
      </c>
      <c r="O12" s="70">
        <f>'DES-AB-VERNOUILLET'!C12</f>
        <v>45809</v>
      </c>
      <c r="P12" s="70">
        <f>'DES-AB-2SAI'!C12</f>
        <v>45809</v>
      </c>
      <c r="Q12" s="75"/>
      <c r="R12" s="70">
        <f>'CMPP-DREUX'!C12</f>
        <v>45809</v>
      </c>
      <c r="S12" s="74"/>
      <c r="T12" s="70">
        <f>'CMPP-CHARTRES'!C12</f>
        <v>45809</v>
      </c>
      <c r="U12" s="70">
        <f>'CMPP-CHATEAUDUN'!C12</f>
        <v>45444</v>
      </c>
      <c r="V12" s="73"/>
      <c r="W12" s="70">
        <f>'DITEP-SENONCHES'!C12</f>
        <v>45809</v>
      </c>
      <c r="X12" s="70">
        <f>'DITEP-MORANCEZ'!C12</f>
        <v>45809</v>
      </c>
      <c r="Y12" s="79"/>
      <c r="Z12" s="70">
        <f>'PISP-DDAISP-ESATHM'!C12</f>
        <v>45809</v>
      </c>
      <c r="AA12" s="70" t="str">
        <f>'PIPSP habitat inclusif'!C12</f>
        <v>X  Pas d'obligation</v>
      </c>
      <c r="AB12" s="70" t="s">
        <v>26</v>
      </c>
    </row>
    <row r="13" spans="1:28" x14ac:dyDescent="0.3">
      <c r="A13" s="6" t="s">
        <v>37</v>
      </c>
      <c r="B13" s="9" t="s">
        <v>38</v>
      </c>
      <c r="C13" s="70">
        <f>CDLA!C13</f>
        <v>45301</v>
      </c>
      <c r="D13" s="52"/>
      <c r="E13" s="70">
        <f>'DAME-AF-SEES'!C13</f>
        <v>46041</v>
      </c>
      <c r="F13" s="70">
        <f>'DAME-AF-SIPFP'!C13</f>
        <v>46041</v>
      </c>
      <c r="G13" s="70">
        <f>'DAME-AF+GEM-Clémenceau'!C13</f>
        <v>46041</v>
      </c>
      <c r="H13" s="70">
        <f>'DAME-AF-Internat'!C13</f>
        <v>45757</v>
      </c>
      <c r="I13" s="73"/>
      <c r="J13" s="70">
        <f>'DAME-BD'!C13</f>
        <v>46077</v>
      </c>
      <c r="K13" s="74"/>
      <c r="L13" s="70">
        <f>'DES-AB-NLR'!C13</f>
        <v>45897</v>
      </c>
      <c r="M13" s="70">
        <f>'DES-AB-Internat'!C13</f>
        <v>46121</v>
      </c>
      <c r="N13" s="70">
        <f>'DES-AB-CHARTRES'!C13</f>
        <v>45366</v>
      </c>
      <c r="O13" s="70">
        <f>'DES-AB-VERNOUILLET'!C13</f>
        <v>45828</v>
      </c>
      <c r="P13" s="70">
        <f>'DES-AB-2SAI'!C13</f>
        <v>45715</v>
      </c>
      <c r="Q13" s="75"/>
      <c r="R13" s="70">
        <f>'CMPP-DREUX'!C13</f>
        <v>45898</v>
      </c>
      <c r="S13" s="74"/>
      <c r="T13" s="70">
        <f>'CMPP-CHARTRES'!C13</f>
        <v>46037</v>
      </c>
      <c r="U13" s="70">
        <f>'CMPP-CHATEAUDUN'!C13</f>
        <v>46043</v>
      </c>
      <c r="V13" s="73"/>
      <c r="W13" s="70">
        <f>'DITEP-SENONCHES'!C13</f>
        <v>45835</v>
      </c>
      <c r="X13" s="70">
        <f>'DITEP-MORANCEZ'!C13</f>
        <v>45919</v>
      </c>
      <c r="Y13" s="79"/>
      <c r="Z13" s="70">
        <f>'PISP-DDAISP-ESATHM'!C13</f>
        <v>45925</v>
      </c>
      <c r="AA13" s="70" t="str">
        <f>'PIPSP habitat inclusif'!C13</f>
        <v>X  Pas d'obligation</v>
      </c>
      <c r="AB13" s="70" t="s">
        <v>26</v>
      </c>
    </row>
    <row r="14" spans="1:28" x14ac:dyDescent="0.3">
      <c r="A14" s="6" t="s">
        <v>39</v>
      </c>
      <c r="B14" s="9" t="s">
        <v>38</v>
      </c>
      <c r="C14" s="70" t="str">
        <f>CDLA!C14</f>
        <v>X</v>
      </c>
      <c r="D14" s="52"/>
      <c r="E14" s="70" t="str">
        <f>'DAME-AF-SEES'!C14</f>
        <v>X</v>
      </c>
      <c r="F14" s="70" t="str">
        <f>'DAME-AF-SIPFP'!C14</f>
        <v>X</v>
      </c>
      <c r="G14" s="70" t="str">
        <f>'DAME-AF+GEM-Clémenceau'!C14</f>
        <v>X</v>
      </c>
      <c r="H14" s="70" t="str">
        <f>'DAME-AF-Internat'!C14</f>
        <v>X</v>
      </c>
      <c r="I14" s="73"/>
      <c r="J14" s="70" t="str">
        <f>'DAME-BD'!C14</f>
        <v>X</v>
      </c>
      <c r="K14" s="74"/>
      <c r="L14" s="70" t="str">
        <f>'DES-AB-NLR'!C14</f>
        <v>X</v>
      </c>
      <c r="M14" s="70">
        <f>'DES-AB-Internat'!C14</f>
        <v>46030</v>
      </c>
      <c r="N14" s="70" t="str">
        <f>'DES-AB-CHARTRES'!C14</f>
        <v>X</v>
      </c>
      <c r="O14" s="70" t="str">
        <f>'DES-AB-VERNOUILLET'!C14</f>
        <v>X</v>
      </c>
      <c r="P14" s="70" t="str">
        <f>'DES-AB-2SAI'!C14</f>
        <v>X</v>
      </c>
      <c r="Q14" s="75"/>
      <c r="R14" s="70" t="str">
        <f>'CMPP-DREUX'!C14</f>
        <v>X</v>
      </c>
      <c r="S14" s="74"/>
      <c r="T14" s="70" t="str">
        <f>'CMPP-CHARTRES'!C14</f>
        <v>X</v>
      </c>
      <c r="U14" s="70" t="str">
        <f>'CMPP-CHATEAUDUN'!C14</f>
        <v>X</v>
      </c>
      <c r="V14" s="73"/>
      <c r="W14" s="70">
        <f>'DITEP-SENONCHES'!C14</f>
        <v>45952</v>
      </c>
      <c r="X14" s="70">
        <f>'DITEP-MORANCEZ'!C14</f>
        <v>0</v>
      </c>
      <c r="Y14" s="79"/>
      <c r="Z14" s="70" t="str">
        <f>'PISP-DDAISP-ESATHM'!C14</f>
        <v>X</v>
      </c>
      <c r="AA14" s="70" t="str">
        <f>'PIPSP habitat inclusif'!C14</f>
        <v>X  Pas d'obligation</v>
      </c>
      <c r="AB14" s="70" t="s">
        <v>26</v>
      </c>
    </row>
    <row r="15" spans="1:28" x14ac:dyDescent="0.3">
      <c r="A15" s="111" t="s">
        <v>40</v>
      </c>
      <c r="B15" s="9" t="s">
        <v>30</v>
      </c>
      <c r="C15" s="70" t="str">
        <f>CDLA!C15</f>
        <v>X</v>
      </c>
      <c r="D15" s="52"/>
      <c r="E15" s="70" t="str">
        <f>'DAME-AF-SEES'!C15</f>
        <v>X</v>
      </c>
      <c r="F15" s="70" t="str">
        <f>'DAME-AF-SIPFP'!C15</f>
        <v>X</v>
      </c>
      <c r="G15" s="70" t="str">
        <f>'DAME-AF+GEM-Clémenceau'!C15</f>
        <v>X</v>
      </c>
      <c r="H15" s="70" t="str">
        <f>'DAME-AF-Internat'!C15</f>
        <v>X</v>
      </c>
      <c r="I15" s="73"/>
      <c r="J15" s="70" t="str">
        <f>'DAME-BD'!C15</f>
        <v>X</v>
      </c>
      <c r="K15" s="74"/>
      <c r="L15" s="70" t="str">
        <f>'DES-AB-NLR'!C15</f>
        <v>X</v>
      </c>
      <c r="M15" s="70" t="str">
        <f>'DES-AB-Internat'!C15</f>
        <v>X</v>
      </c>
      <c r="N15" s="70" t="str">
        <f>'DES-AB-CHARTRES'!C15</f>
        <v>X</v>
      </c>
      <c r="O15" s="70" t="str">
        <f>'DES-AB-VERNOUILLET'!C15</f>
        <v>X</v>
      </c>
      <c r="P15" s="70" t="str">
        <f>'DES-AB-2SAI'!C15</f>
        <v>X</v>
      </c>
      <c r="Q15" s="75"/>
      <c r="R15" s="70" t="str">
        <f>'CMPP-DREUX'!C15</f>
        <v>X</v>
      </c>
      <c r="S15" s="74"/>
      <c r="T15" s="70" t="str">
        <f>'CMPP-CHARTRES'!C15</f>
        <v>X</v>
      </c>
      <c r="U15" s="70" t="str">
        <f>'CMPP-CHATEAUDUN'!C15</f>
        <v>X</v>
      </c>
      <c r="V15" s="73"/>
      <c r="W15" s="70">
        <f>'DITEP-SENONCHES'!C15</f>
        <v>45617</v>
      </c>
      <c r="X15" s="70" t="str">
        <f>'DITEP-MORANCEZ'!C15</f>
        <v>X</v>
      </c>
      <c r="Y15" s="79"/>
      <c r="Z15" s="70">
        <f>'PISP-DDAISP-ESATHM'!C15</f>
        <v>45727</v>
      </c>
      <c r="AA15" s="70" t="str">
        <f>'PIPSP habitat inclusif'!C15</f>
        <v>X  Pas d'obligation</v>
      </c>
      <c r="AB15" s="70" t="s">
        <v>26</v>
      </c>
    </row>
    <row r="16" spans="1:28" x14ac:dyDescent="0.3">
      <c r="A16" s="112"/>
      <c r="B16" s="9" t="s">
        <v>38</v>
      </c>
      <c r="C16" s="70" t="str">
        <f>CDLA!C16</f>
        <v>X</v>
      </c>
      <c r="D16" s="52"/>
      <c r="E16" s="70" t="str">
        <f>'DAME-AF-SEES'!C16</f>
        <v>X</v>
      </c>
      <c r="F16" s="70" t="str">
        <f>'DAME-AF-SIPFP'!C16</f>
        <v>X</v>
      </c>
      <c r="G16" s="70" t="str">
        <f>'DAME-AF+GEM-Clémenceau'!C16</f>
        <v>X</v>
      </c>
      <c r="H16" s="70" t="str">
        <f>'DAME-AF-Internat'!C16</f>
        <v>X</v>
      </c>
      <c r="I16" s="73"/>
      <c r="J16" s="70" t="str">
        <f>'DAME-BD'!C16</f>
        <v>X</v>
      </c>
      <c r="K16" s="74"/>
      <c r="L16" s="70" t="str">
        <f>'DES-AB-NLR'!C16</f>
        <v>X</v>
      </c>
      <c r="M16" s="70" t="str">
        <f>'DES-AB-Internat'!C16</f>
        <v>X</v>
      </c>
      <c r="N16" s="70" t="str">
        <f>'DES-AB-CHARTRES'!C16</f>
        <v>X</v>
      </c>
      <c r="O16" s="70" t="str">
        <f>'DES-AB-VERNOUILLET'!C16</f>
        <v>X</v>
      </c>
      <c r="P16" s="70" t="str">
        <f>'DES-AB-2SAI'!C16</f>
        <v>X</v>
      </c>
      <c r="Q16" s="75"/>
      <c r="R16" s="70" t="str">
        <f>'CMPP-DREUX'!C16</f>
        <v>X</v>
      </c>
      <c r="S16" s="74"/>
      <c r="T16" s="70" t="str">
        <f>'CMPP-CHARTRES'!C16</f>
        <v>X</v>
      </c>
      <c r="U16" s="70" t="str">
        <f>'CMPP-CHATEAUDUN'!C16</f>
        <v>X</v>
      </c>
      <c r="V16" s="73"/>
      <c r="W16" s="70">
        <f>'DITEP-SENONCHES'!C16</f>
        <v>45966</v>
      </c>
      <c r="X16" s="70" t="str">
        <f>'DITEP-MORANCEZ'!C16</f>
        <v>X</v>
      </c>
      <c r="Y16" s="79"/>
      <c r="Z16" s="70">
        <f>'PISP-DDAISP-ESATHM'!C16</f>
        <v>0</v>
      </c>
      <c r="AA16" s="70" t="str">
        <f>'PIPSP habitat inclusif'!C16</f>
        <v>X  Pas d'obligation</v>
      </c>
      <c r="AB16" s="70" t="s">
        <v>26</v>
      </c>
    </row>
    <row r="17" spans="1:28" x14ac:dyDescent="0.3">
      <c r="A17" s="6" t="s">
        <v>41</v>
      </c>
      <c r="B17" s="9" t="s">
        <v>28</v>
      </c>
      <c r="C17" s="70" t="str">
        <f>CDLA!C17</f>
        <v>X</v>
      </c>
      <c r="D17" s="52"/>
      <c r="E17" s="70" t="str">
        <f>'DAME-AF-SEES'!C17</f>
        <v>X</v>
      </c>
      <c r="F17" s="70" t="str">
        <f>'DAME-AF-SIPFP'!C17</f>
        <v>X</v>
      </c>
      <c r="G17" s="70" t="str">
        <f>'DAME-AF+GEM-Clémenceau'!C17</f>
        <v>X</v>
      </c>
      <c r="H17" s="70" t="str">
        <f>'DAME-AF-Internat'!C17</f>
        <v>X</v>
      </c>
      <c r="I17" s="73"/>
      <c r="J17" s="70" t="str">
        <f>'DAME-BD'!C17</f>
        <v>X</v>
      </c>
      <c r="K17" s="39"/>
      <c r="L17" s="70" t="str">
        <f>'DES-AB-NLR'!C17</f>
        <v>X</v>
      </c>
      <c r="M17" s="70" t="str">
        <f>'DES-AB-Internat'!C17</f>
        <v>X</v>
      </c>
      <c r="N17" s="70" t="str">
        <f>'DES-AB-CHARTRES'!C17</f>
        <v>X</v>
      </c>
      <c r="O17" s="70" t="str">
        <f>'DES-AB-VERNOUILLET'!C17</f>
        <v>X</v>
      </c>
      <c r="P17" s="70" t="str">
        <f>'DES-AB-2SAI'!C17</f>
        <v>X</v>
      </c>
      <c r="Q17" s="40"/>
      <c r="R17" s="70" t="str">
        <f>'CMPP-DREUX'!C17</f>
        <v>X</v>
      </c>
      <c r="S17" s="39"/>
      <c r="T17" s="70" t="str">
        <f>'CMPP-CHARTRES'!C17</f>
        <v>X</v>
      </c>
      <c r="U17" s="70" t="str">
        <f>'CMPP-CHATEAUDUN'!C17</f>
        <v>X</v>
      </c>
      <c r="V17" s="50"/>
      <c r="W17" s="70">
        <f>'DITEP-SENONCHES'!C17</f>
        <v>45689</v>
      </c>
      <c r="X17" s="70" t="str">
        <f>'DITEP-MORANCEZ'!C17</f>
        <v>X</v>
      </c>
      <c r="Y17" s="78"/>
      <c r="Z17" s="70">
        <f>'PISP-DDAISP-ESATHM'!C17</f>
        <v>46041</v>
      </c>
      <c r="AA17" s="70" t="str">
        <f>'PIPSP habitat inclusif'!C17</f>
        <v>X  Pas d'obligation</v>
      </c>
      <c r="AB17" s="70" t="s">
        <v>26</v>
      </c>
    </row>
    <row r="18" spans="1:28" x14ac:dyDescent="0.3">
      <c r="A18" s="111" t="s">
        <v>42</v>
      </c>
      <c r="B18" s="9" t="s">
        <v>30</v>
      </c>
      <c r="C18" s="70" t="str">
        <f>CDLA!C18</f>
        <v>X</v>
      </c>
      <c r="D18" s="52"/>
      <c r="E18" s="70" t="str">
        <f>'DAME-AF-SEES'!C18</f>
        <v>X</v>
      </c>
      <c r="F18" s="70" t="str">
        <f>'DAME-AF-SIPFP'!C18</f>
        <v>X</v>
      </c>
      <c r="G18" s="70" t="str">
        <f>'DAME-AF+GEM-Clémenceau'!C18</f>
        <v>X</v>
      </c>
      <c r="H18" s="70" t="str">
        <f>'DAME-AF-Internat'!C18</f>
        <v>X</v>
      </c>
      <c r="I18" s="73"/>
      <c r="J18" s="70" t="str">
        <f>'DAME-BD'!C18</f>
        <v>X</v>
      </c>
      <c r="K18" s="74"/>
      <c r="L18" s="70" t="str">
        <f>'DES-AB-NLR'!C18</f>
        <v>X</v>
      </c>
      <c r="M18" s="70" t="str">
        <f>'DES-AB-Internat'!C18</f>
        <v>X</v>
      </c>
      <c r="N18" s="70">
        <f>'DES-AB-CHARTRES'!C18</f>
        <v>45925</v>
      </c>
      <c r="O18" s="70" t="str">
        <f>'DES-AB-VERNOUILLET'!C18</f>
        <v>X</v>
      </c>
      <c r="P18" s="70" t="str">
        <f>'DES-AB-2SAI'!C18</f>
        <v>X</v>
      </c>
      <c r="Q18" s="75"/>
      <c r="R18" s="70" t="str">
        <f>'CMPP-DREUX'!C18</f>
        <v>X</v>
      </c>
      <c r="S18" s="74"/>
      <c r="T18" s="70" t="str">
        <f>'CMPP-CHARTRES'!C18</f>
        <v>X</v>
      </c>
      <c r="U18" s="70" t="str">
        <f>'CMPP-CHATEAUDUN'!C18</f>
        <v>X</v>
      </c>
      <c r="V18" s="73"/>
      <c r="W18" s="70" t="str">
        <f>'DITEP-SENONCHES'!C18</f>
        <v>X</v>
      </c>
      <c r="X18" s="70" t="str">
        <f>'DITEP-MORANCEZ'!C18</f>
        <v>X</v>
      </c>
      <c r="Y18" s="79"/>
      <c r="Z18" s="70" t="str">
        <f>'PISP-DDAISP-ESATHM'!C18</f>
        <v>X</v>
      </c>
      <c r="AA18" s="70" t="str">
        <f>'PIPSP habitat inclusif'!C18</f>
        <v>X  Pas d'obligation</v>
      </c>
      <c r="AB18" s="70" t="s">
        <v>26</v>
      </c>
    </row>
    <row r="19" spans="1:28" x14ac:dyDescent="0.3">
      <c r="A19" s="112"/>
      <c r="B19" s="9" t="s">
        <v>38</v>
      </c>
      <c r="C19" s="70" t="str">
        <f>CDLA!C19</f>
        <v>X</v>
      </c>
      <c r="D19" s="52"/>
      <c r="E19" s="70" t="str">
        <f>'DAME-AF-SEES'!C19</f>
        <v>X</v>
      </c>
      <c r="F19" s="70" t="str">
        <f>'DAME-AF-SIPFP'!C19</f>
        <v>X</v>
      </c>
      <c r="G19" s="70" t="str">
        <f>'DAME-AF+GEM-Clémenceau'!C19</f>
        <v>X</v>
      </c>
      <c r="H19" s="70" t="str">
        <f>'DAME-AF-Internat'!C19</f>
        <v>X</v>
      </c>
      <c r="I19" s="73"/>
      <c r="J19" s="70" t="str">
        <f>'DAME-BD'!C19</f>
        <v>X</v>
      </c>
      <c r="K19" s="74"/>
      <c r="L19" s="70" t="str">
        <f>'DES-AB-NLR'!C19</f>
        <v>X</v>
      </c>
      <c r="M19" s="70" t="str">
        <f>'DES-AB-Internat'!C19</f>
        <v>X</v>
      </c>
      <c r="N19" s="70">
        <f>'DES-AB-CHARTRES'!C19</f>
        <v>45631</v>
      </c>
      <c r="O19" s="70" t="str">
        <f>'DES-AB-VERNOUILLET'!C19</f>
        <v>X</v>
      </c>
      <c r="P19" s="70" t="str">
        <f>'DES-AB-2SAI'!C19</f>
        <v>X</v>
      </c>
      <c r="Q19" s="75"/>
      <c r="R19" s="70" t="str">
        <f>'CMPP-DREUX'!C19</f>
        <v>X</v>
      </c>
      <c r="S19" s="74"/>
      <c r="T19" s="70" t="str">
        <f>'CMPP-CHARTRES'!C19</f>
        <v>X</v>
      </c>
      <c r="U19" s="70" t="str">
        <f>'CMPP-CHATEAUDUN'!C19</f>
        <v>X</v>
      </c>
      <c r="V19" s="73"/>
      <c r="W19" s="70" t="str">
        <f>'DITEP-SENONCHES'!C19</f>
        <v>X</v>
      </c>
      <c r="X19" s="70" t="str">
        <f>'DITEP-MORANCEZ'!C19</f>
        <v>X</v>
      </c>
      <c r="Y19" s="79"/>
      <c r="Z19" s="70" t="str">
        <f>'PISP-DDAISP-ESATHM'!C19</f>
        <v>X</v>
      </c>
      <c r="AA19" s="70" t="str">
        <f>'PIPSP habitat inclusif'!C19</f>
        <v>X  Pas d'obligation</v>
      </c>
      <c r="AB19" s="70" t="s">
        <v>26</v>
      </c>
    </row>
    <row r="20" spans="1:28" x14ac:dyDescent="0.3">
      <c r="A20" s="6" t="s">
        <v>43</v>
      </c>
      <c r="B20" s="9" t="s">
        <v>38</v>
      </c>
      <c r="C20" s="70" t="str">
        <f>CDLA!C20</f>
        <v>X</v>
      </c>
      <c r="D20" s="52"/>
      <c r="E20" s="70">
        <f>'DAME-AF-SEES'!C20</f>
        <v>45701</v>
      </c>
      <c r="F20" s="70">
        <f>'DAME-AF-SIPFP'!C20</f>
        <v>45701</v>
      </c>
      <c r="G20" s="70" t="str">
        <f>'DAME-AF+GEM-Clémenceau'!C20</f>
        <v>X</v>
      </c>
      <c r="H20" s="70" t="str">
        <f>'DAME-AF-Internat'!C20</f>
        <v>X</v>
      </c>
      <c r="I20" s="73"/>
      <c r="J20" s="70" t="str">
        <f>'DAME-BD'!C20</f>
        <v>X</v>
      </c>
      <c r="K20" s="74"/>
      <c r="L20" s="70">
        <f>'DES-AB-NLR'!C20</f>
        <v>45658</v>
      </c>
      <c r="M20" s="70" t="str">
        <f>'DES-AB-Internat'!C20</f>
        <v>X</v>
      </c>
      <c r="N20" s="70">
        <f>'DES-AB-CHARTRES'!C20</f>
        <v>45627</v>
      </c>
      <c r="O20" s="70" t="str">
        <f>'DES-AB-VERNOUILLET'!C20</f>
        <v>X</v>
      </c>
      <c r="P20" s="70" t="str">
        <f>'DES-AB-2SAI'!C20</f>
        <v>X</v>
      </c>
      <c r="Q20" s="75"/>
      <c r="R20" s="70" t="str">
        <f>'CMPP-DREUX'!C20</f>
        <v>X</v>
      </c>
      <c r="S20" s="74"/>
      <c r="T20" s="70" t="str">
        <f>'CMPP-CHARTRES'!C20</f>
        <v>X</v>
      </c>
      <c r="U20" s="70" t="str">
        <f>'CMPP-CHATEAUDUN'!C20</f>
        <v>X</v>
      </c>
      <c r="V20" s="73"/>
      <c r="W20" s="70">
        <f>'DITEP-SENONCHES'!C20</f>
        <v>45692</v>
      </c>
      <c r="X20" s="70">
        <f>'DITEP-MORANCEZ'!C20</f>
        <v>46122</v>
      </c>
      <c r="Y20" s="79"/>
      <c r="Z20" s="70" t="str">
        <f>'PISP-DDAISP-ESATHM'!C20</f>
        <v>X</v>
      </c>
      <c r="AA20" s="70" t="str">
        <f>'PIPSP habitat inclusif'!C20</f>
        <v>X  Pas d'obligation</v>
      </c>
      <c r="AB20" s="70" t="s">
        <v>26</v>
      </c>
    </row>
    <row r="21" spans="1:28" x14ac:dyDescent="0.3">
      <c r="A21" s="6" t="s">
        <v>44</v>
      </c>
      <c r="B21" s="9" t="s">
        <v>30</v>
      </c>
      <c r="C21" s="70" t="str">
        <f>CDLA!C21</f>
        <v>X</v>
      </c>
      <c r="D21" s="52"/>
      <c r="E21" s="70" t="str">
        <f>'DAME-AF-SEES'!C21</f>
        <v>X</v>
      </c>
      <c r="F21" s="70" t="str">
        <f>'DAME-AF-SIPFP'!C21</f>
        <v>X</v>
      </c>
      <c r="G21" s="70" t="str">
        <f>'DAME-AF+GEM-Clémenceau'!C21</f>
        <v>X</v>
      </c>
      <c r="H21" s="70" t="str">
        <f>'DAME-AF-Internat'!C21</f>
        <v>X</v>
      </c>
      <c r="I21" s="73"/>
      <c r="J21" s="70" t="str">
        <f>'DAME-BD'!C21</f>
        <v>X</v>
      </c>
      <c r="K21" s="74"/>
      <c r="L21" s="70">
        <f>'DES-AB-NLR'!C21</f>
        <v>45965</v>
      </c>
      <c r="M21" s="70" t="str">
        <f>'DES-AB-Internat'!C21</f>
        <v>X</v>
      </c>
      <c r="N21" s="70" t="str">
        <f>'DES-AB-CHARTRES'!C21</f>
        <v>X</v>
      </c>
      <c r="O21" s="70" t="str">
        <f>'DES-AB-VERNOUILLET'!C21</f>
        <v>X</v>
      </c>
      <c r="P21" s="70" t="str">
        <f>'DES-AB-2SAI'!C21</f>
        <v>X</v>
      </c>
      <c r="Q21" s="75"/>
      <c r="R21" s="70" t="str">
        <f>'CMPP-DREUX'!C21</f>
        <v>X</v>
      </c>
      <c r="S21" s="74"/>
      <c r="T21" s="70" t="str">
        <f>'CMPP-CHARTRES'!C21</f>
        <v>X</v>
      </c>
      <c r="U21" s="70" t="str">
        <f>'CMPP-CHATEAUDUN'!C21</f>
        <v>X</v>
      </c>
      <c r="V21" s="73"/>
      <c r="W21" s="70" t="str">
        <f>'DITEP-SENONCHES'!C21</f>
        <v>X</v>
      </c>
      <c r="X21" s="70" t="str">
        <f>'DITEP-MORANCEZ'!C21</f>
        <v>X</v>
      </c>
      <c r="Y21" s="79"/>
      <c r="Z21" s="70" t="str">
        <f>'PISP-DDAISP-ESATHM'!C21</f>
        <v>X</v>
      </c>
      <c r="AA21" s="70" t="str">
        <f>'PIPSP habitat inclusif'!C21</f>
        <v>X  Pas d'obligation</v>
      </c>
      <c r="AB21" s="70" t="s">
        <v>26</v>
      </c>
    </row>
    <row r="22" spans="1:28" x14ac:dyDescent="0.3">
      <c r="A22" s="6" t="s">
        <v>45</v>
      </c>
      <c r="B22" s="9" t="s">
        <v>38</v>
      </c>
      <c r="C22" s="70" t="str">
        <f>CDLA!C22</f>
        <v>X</v>
      </c>
      <c r="D22" s="52"/>
      <c r="E22" s="70">
        <f>'DAME-AF-SEES'!C22</f>
        <v>45686</v>
      </c>
      <c r="F22" s="70" t="str">
        <f>'DAME-AF-SIPFP'!C22</f>
        <v>X</v>
      </c>
      <c r="G22" s="70" t="str">
        <f>'DAME-AF+GEM-Clémenceau'!C22</f>
        <v>X</v>
      </c>
      <c r="H22" s="70" t="str">
        <f>'DAME-AF-Internat'!C22</f>
        <v>X</v>
      </c>
      <c r="I22" s="73"/>
      <c r="J22" s="70">
        <f>'DAME-BD'!C22</f>
        <v>45821</v>
      </c>
      <c r="K22" s="74"/>
      <c r="L22" s="70">
        <f>'DES-AB-NLR'!C22</f>
        <v>45658</v>
      </c>
      <c r="M22" s="70" t="str">
        <f>'DES-AB-Internat'!C22</f>
        <v>X</v>
      </c>
      <c r="N22" s="70" t="str">
        <f>'DES-AB-CHARTRES'!C22</f>
        <v>X</v>
      </c>
      <c r="O22" s="70" t="str">
        <f>'DES-AB-VERNOUILLET'!C22</f>
        <v>X</v>
      </c>
      <c r="P22" s="70" t="str">
        <f>'DES-AB-2SAI'!C22</f>
        <v>X</v>
      </c>
      <c r="Q22" s="75"/>
      <c r="R22" s="70" t="str">
        <f>'CMPP-DREUX'!C22</f>
        <v>X</v>
      </c>
      <c r="S22" s="74"/>
      <c r="T22" s="70" t="str">
        <f>'CMPP-CHARTRES'!C22</f>
        <v>X</v>
      </c>
      <c r="U22" s="70" t="str">
        <f>'CMPP-CHATEAUDUN'!C22</f>
        <v>X</v>
      </c>
      <c r="V22" s="73"/>
      <c r="W22" s="70" t="str">
        <f>'DITEP-SENONCHES'!C22</f>
        <v>X</v>
      </c>
      <c r="X22" s="70" t="str">
        <f>'DITEP-MORANCEZ'!C22</f>
        <v>X</v>
      </c>
      <c r="Y22" s="79"/>
      <c r="Z22" s="70" t="str">
        <f>'PISP-DDAISP-ESATHM'!C22</f>
        <v>X</v>
      </c>
      <c r="AA22" s="70" t="str">
        <f>'PIPSP habitat inclusif'!C22</f>
        <v>X  Pas d'obligation</v>
      </c>
      <c r="AB22" s="70" t="s">
        <v>26</v>
      </c>
    </row>
    <row r="23" spans="1:28" x14ac:dyDescent="0.3">
      <c r="A23" s="6" t="s">
        <v>46</v>
      </c>
      <c r="B23" s="9" t="s">
        <v>38</v>
      </c>
      <c r="C23" s="70" t="str">
        <f>CDLA!C23</f>
        <v>X</v>
      </c>
      <c r="D23" s="52"/>
      <c r="E23" s="70" t="str">
        <f>'DAME-AF-SEES'!C23</f>
        <v>X</v>
      </c>
      <c r="F23" s="70" t="str">
        <f>'DAME-AF-SIPFP'!C23</f>
        <v>X</v>
      </c>
      <c r="G23" s="70" t="str">
        <f>'DAME-AF+GEM-Clémenceau'!C23</f>
        <v>X</v>
      </c>
      <c r="H23" s="70" t="str">
        <f>'DAME-AF-Internat'!C23</f>
        <v>X</v>
      </c>
      <c r="I23" s="73"/>
      <c r="J23" s="70" t="str">
        <f>'DAME-BD'!C23</f>
        <v>X</v>
      </c>
      <c r="K23" s="74"/>
      <c r="L23" s="70">
        <f>'DES-AB-NLR'!C23</f>
        <v>45413</v>
      </c>
      <c r="M23" s="70" t="str">
        <f>'DES-AB-Internat'!C23</f>
        <v>X</v>
      </c>
      <c r="N23" s="70" t="str">
        <f>'DES-AB-CHARTRES'!C23</f>
        <v>X</v>
      </c>
      <c r="O23" s="70" t="str">
        <f>'DES-AB-VERNOUILLET'!C23</f>
        <v>X</v>
      </c>
      <c r="P23" s="70" t="str">
        <f>'DES-AB-2SAI'!C23</f>
        <v>X</v>
      </c>
      <c r="Q23" s="75"/>
      <c r="R23" s="70" t="str">
        <f>'CMPP-DREUX'!C23</f>
        <v>X</v>
      </c>
      <c r="S23" s="74"/>
      <c r="T23" s="70" t="str">
        <f>'CMPP-CHARTRES'!C23</f>
        <v>X</v>
      </c>
      <c r="U23" s="70" t="str">
        <f>'CMPP-CHATEAUDUN'!C23</f>
        <v>X</v>
      </c>
      <c r="V23" s="73"/>
      <c r="W23" s="70" t="str">
        <f>'DITEP-SENONCHES'!C23</f>
        <v>X</v>
      </c>
      <c r="X23" s="70" t="str">
        <f>'DITEP-MORANCEZ'!C23</f>
        <v>X</v>
      </c>
      <c r="Y23" s="79"/>
      <c r="Z23" s="70" t="str">
        <f>'PISP-DDAISP-ESATHM'!C23</f>
        <v>X</v>
      </c>
      <c r="AA23" s="70" t="str">
        <f>'PIPSP habitat inclusif'!C23</f>
        <v>X  Pas d'obligation</v>
      </c>
      <c r="AB23" s="70" t="s">
        <v>26</v>
      </c>
    </row>
    <row r="24" spans="1:28" x14ac:dyDescent="0.3">
      <c r="A24" s="6" t="s">
        <v>47</v>
      </c>
      <c r="B24" s="9" t="s">
        <v>48</v>
      </c>
      <c r="C24" s="70" t="str">
        <f>CDLA!C24</f>
        <v>X</v>
      </c>
      <c r="D24" s="52"/>
      <c r="E24" s="70">
        <f>'DAME-AF-SEES'!C24</f>
        <v>45751</v>
      </c>
      <c r="F24" s="70">
        <f>'DAME-AF-SIPFP'!C24</f>
        <v>45751</v>
      </c>
      <c r="G24" s="70">
        <f>'DAME-AF+GEM-Clémenceau'!C24</f>
        <v>1</v>
      </c>
      <c r="H24" s="70" t="str">
        <f>'DAME-AF-Internat'!C24</f>
        <v>X</v>
      </c>
      <c r="I24" s="73"/>
      <c r="J24" s="70" t="str">
        <f>'DAME-BD'!C24</f>
        <v>X</v>
      </c>
      <c r="K24" s="74"/>
      <c r="L24" s="70">
        <f>'DES-AB-NLR'!C24</f>
        <v>45845</v>
      </c>
      <c r="M24" s="70" t="str">
        <f>'DES-AB-Internat'!C24</f>
        <v>X</v>
      </c>
      <c r="N24" s="70">
        <f>'DES-AB-CHARTRES'!C24</f>
        <v>1</v>
      </c>
      <c r="O24" s="70">
        <f>'DES-AB-VERNOUILLET'!C24</f>
        <v>0</v>
      </c>
      <c r="P24" s="70" t="str">
        <f>'DES-AB-2SAI'!C24</f>
        <v>X</v>
      </c>
      <c r="Q24" s="75"/>
      <c r="R24" s="70">
        <f>'CMPP-DREUX'!C24</f>
        <v>45352</v>
      </c>
      <c r="S24" s="74"/>
      <c r="T24" s="70" t="str">
        <f>'CMPP-CHARTRES'!C24</f>
        <v>X</v>
      </c>
      <c r="U24" s="70" t="str">
        <f>'CMPP-CHATEAUDUN'!C24</f>
        <v>X</v>
      </c>
      <c r="V24" s="73"/>
      <c r="W24" s="70">
        <f>'DITEP-SENONCHES'!C24</f>
        <v>45825</v>
      </c>
      <c r="X24" s="70">
        <f>'DITEP-MORANCEZ'!C24</f>
        <v>0</v>
      </c>
      <c r="Y24" s="79"/>
      <c r="Z24" s="70">
        <f>'PISP-DDAISP-ESATHM'!C24</f>
        <v>45748</v>
      </c>
      <c r="AA24" s="70" t="str">
        <f>'PIPSP habitat inclusif'!C24</f>
        <v>X  Pas d'obligation</v>
      </c>
      <c r="AB24" s="70" t="s">
        <v>26</v>
      </c>
    </row>
    <row r="25" spans="1:28" x14ac:dyDescent="0.3">
      <c r="A25" s="6" t="s">
        <v>49</v>
      </c>
      <c r="B25" s="9" t="s">
        <v>38</v>
      </c>
      <c r="C25" s="70" t="str">
        <f>CDLA!C25</f>
        <v>X</v>
      </c>
      <c r="D25" s="52"/>
      <c r="E25" s="70">
        <f>'DAME-AF-SEES'!C25</f>
        <v>45912</v>
      </c>
      <c r="F25" s="70" t="str">
        <f>'DAME-AF-SIPFP'!C25</f>
        <v>X</v>
      </c>
      <c r="G25" s="70" t="str">
        <f>'DAME-AF+GEM-Clémenceau'!C25</f>
        <v>X</v>
      </c>
      <c r="H25" s="70" t="str">
        <f>'DAME-AF-Internat'!C25</f>
        <v>X</v>
      </c>
      <c r="I25" s="73"/>
      <c r="J25" s="70" t="str">
        <f>'DAME-BD'!C25</f>
        <v>X</v>
      </c>
      <c r="K25" s="74"/>
      <c r="L25" s="70">
        <f>'DES-AB-NLR'!C25</f>
        <v>45910</v>
      </c>
      <c r="M25" s="70" t="str">
        <f>'DES-AB-Internat'!C25</f>
        <v>X</v>
      </c>
      <c r="N25" s="70" t="str">
        <f>'DES-AB-CHARTRES'!C25</f>
        <v>X</v>
      </c>
      <c r="O25" s="70">
        <f>'DES-AB-VERNOUILLET'!C25</f>
        <v>0</v>
      </c>
      <c r="P25" s="70" t="str">
        <f>'DES-AB-2SAI'!C25</f>
        <v>X</v>
      </c>
      <c r="Q25" s="75"/>
      <c r="R25" s="70">
        <f>'CMPP-DREUX'!C25</f>
        <v>45944</v>
      </c>
      <c r="S25" s="74"/>
      <c r="T25" s="70" t="str">
        <f>'CMPP-CHARTRES'!C25</f>
        <v>X</v>
      </c>
      <c r="U25" s="70" t="str">
        <f>'CMPP-CHATEAUDUN'!C25</f>
        <v>X</v>
      </c>
      <c r="V25" s="73"/>
      <c r="W25" s="70">
        <f>'DITEP-SENONCHES'!C25</f>
        <v>45444</v>
      </c>
      <c r="X25" s="70">
        <f>'DITEP-MORANCEZ'!C25</f>
        <v>45919</v>
      </c>
      <c r="Y25" s="79"/>
      <c r="Z25" s="70">
        <f>'PISP-DDAISP-ESATHM'!C25</f>
        <v>0</v>
      </c>
      <c r="AA25" s="70" t="str">
        <f>'PIPSP habitat inclusif'!C25</f>
        <v>X  Pas d'obligation</v>
      </c>
      <c r="AB25" s="70" t="s">
        <v>26</v>
      </c>
    </row>
    <row r="26" spans="1:28" x14ac:dyDescent="0.3">
      <c r="A26" s="6" t="s">
        <v>50</v>
      </c>
      <c r="B26" s="9" t="s">
        <v>38</v>
      </c>
      <c r="C26" s="70" t="str">
        <f>CDLA!C26</f>
        <v>X</v>
      </c>
      <c r="D26" s="52"/>
      <c r="E26" s="70">
        <f>'DAME-AF-SEES'!C26</f>
        <v>45692</v>
      </c>
      <c r="F26" s="70">
        <f>'DAME-AF-SIPFP'!C26</f>
        <v>46043</v>
      </c>
      <c r="G26" s="70" t="str">
        <f>'DAME-AF+GEM-Clémenceau'!C26</f>
        <v>X</v>
      </c>
      <c r="H26" s="70" t="str">
        <f>'DAME-AF-Internat'!C26</f>
        <v>X</v>
      </c>
      <c r="I26" s="73"/>
      <c r="J26" s="70" t="str">
        <f>'DAME-BD'!C26</f>
        <v>X</v>
      </c>
      <c r="K26" s="74"/>
      <c r="L26" s="70">
        <f>'DES-AB-NLR'!C26</f>
        <v>45924</v>
      </c>
      <c r="M26" s="70" t="str">
        <f>'DES-AB-Internat'!C26</f>
        <v>X</v>
      </c>
      <c r="N26" s="70">
        <f>'DES-AB-CHARTRES'!C26</f>
        <v>45975</v>
      </c>
      <c r="O26" s="70">
        <f>'DES-AB-VERNOUILLET'!C26</f>
        <v>0</v>
      </c>
      <c r="P26" s="70" t="str">
        <f>'DES-AB-2SAI'!C26</f>
        <v>X</v>
      </c>
      <c r="Q26" s="75"/>
      <c r="R26" s="70">
        <f>'CMPP-DREUX'!C26</f>
        <v>45944</v>
      </c>
      <c r="S26" s="74"/>
      <c r="T26" s="70" t="str">
        <f>'CMPP-CHARTRES'!C26</f>
        <v>X</v>
      </c>
      <c r="U26" s="70" t="str">
        <f>'CMPP-CHATEAUDUN'!C26</f>
        <v>X</v>
      </c>
      <c r="V26" s="73"/>
      <c r="W26" s="70">
        <f>'DITEP-SENONCHES'!C26</f>
        <v>45658</v>
      </c>
      <c r="X26" s="70">
        <f>'DITEP-MORANCEZ'!C26</f>
        <v>45919</v>
      </c>
      <c r="Y26" s="79"/>
      <c r="Z26" s="70">
        <f>'PISP-DDAISP-ESATHM'!C26</f>
        <v>45925</v>
      </c>
      <c r="AA26" s="70" t="str">
        <f>'PIPSP habitat inclusif'!C26</f>
        <v>X  Pas d'obligation</v>
      </c>
      <c r="AB26" s="70" t="s">
        <v>26</v>
      </c>
    </row>
    <row r="27" spans="1:28" x14ac:dyDescent="0.3">
      <c r="A27" s="111" t="s">
        <v>51</v>
      </c>
      <c r="B27" s="9" t="s">
        <v>30</v>
      </c>
      <c r="C27" s="70" t="str">
        <f>CDLA!C27</f>
        <v>X</v>
      </c>
      <c r="D27" s="52"/>
      <c r="E27" s="70" t="str">
        <f>'DAME-AF-SEES'!C27</f>
        <v>X</v>
      </c>
      <c r="F27" s="70" t="str">
        <f>'DAME-AF-SIPFP'!C27</f>
        <v>X</v>
      </c>
      <c r="G27" s="70" t="str">
        <f>'DAME-AF+GEM-Clémenceau'!C27</f>
        <v>X</v>
      </c>
      <c r="H27" s="70" t="str">
        <f>'DAME-AF-Internat'!C27</f>
        <v>X</v>
      </c>
      <c r="I27" s="73"/>
      <c r="J27" s="70">
        <f>'DAME-BD'!C27</f>
        <v>0</v>
      </c>
      <c r="K27" s="74"/>
      <c r="L27" s="70" t="str">
        <f>'DES-AB-NLR'!C27</f>
        <v>X</v>
      </c>
      <c r="M27" s="70" t="str">
        <f>'DES-AB-Internat'!C27</f>
        <v>X</v>
      </c>
      <c r="N27" s="70" t="str">
        <f>'DES-AB-CHARTRES'!C27</f>
        <v>X</v>
      </c>
      <c r="O27" s="70" t="str">
        <f>'DES-AB-VERNOUILLET'!C27</f>
        <v>X</v>
      </c>
      <c r="P27" s="70" t="str">
        <f>'DES-AB-2SAI'!C27</f>
        <v>X</v>
      </c>
      <c r="Q27" s="75"/>
      <c r="R27" s="70" t="str">
        <f>'CMPP-DREUX'!C27</f>
        <v>X</v>
      </c>
      <c r="S27" s="74"/>
      <c r="T27" s="70">
        <f>'CMPP-CHARTRES'!C27</f>
        <v>45831</v>
      </c>
      <c r="U27" s="70" t="str">
        <f>'CMPP-CHATEAUDUN'!C27</f>
        <v>X</v>
      </c>
      <c r="V27" s="73"/>
      <c r="W27" s="70" t="str">
        <f>'DITEP-SENONCHES'!C27</f>
        <v>X</v>
      </c>
      <c r="X27" s="70">
        <f>'DITEP-MORANCEZ'!C27</f>
        <v>45750</v>
      </c>
      <c r="Y27" s="79"/>
      <c r="Z27" s="70" t="str">
        <f>'PISP-DDAISP-ESATHM'!C27</f>
        <v>X</v>
      </c>
      <c r="AA27" s="70" t="str">
        <f>'PIPSP habitat inclusif'!C27</f>
        <v>X  Pas d'obligation</v>
      </c>
      <c r="AB27" s="70" t="s">
        <v>26</v>
      </c>
    </row>
    <row r="28" spans="1:28" x14ac:dyDescent="0.3">
      <c r="A28" s="112"/>
      <c r="B28" s="9" t="s">
        <v>38</v>
      </c>
      <c r="C28" s="70" t="str">
        <f>CDLA!C28</f>
        <v>X</v>
      </c>
      <c r="D28" s="52"/>
      <c r="E28" s="70" t="str">
        <f>'DAME-AF-SEES'!C28</f>
        <v>X</v>
      </c>
      <c r="F28" s="70" t="str">
        <f>'DAME-AF-SIPFP'!C28</f>
        <v>X</v>
      </c>
      <c r="G28" s="70" t="str">
        <f>'DAME-AF+GEM-Clémenceau'!C28</f>
        <v>X</v>
      </c>
      <c r="H28" s="70" t="str">
        <f>'DAME-AF-Internat'!C28</f>
        <v>X</v>
      </c>
      <c r="I28" s="73"/>
      <c r="J28" s="70">
        <f>'DAME-BD'!C28</f>
        <v>0</v>
      </c>
      <c r="K28" s="74"/>
      <c r="L28" s="70" t="str">
        <f>'DES-AB-NLR'!C28</f>
        <v>X</v>
      </c>
      <c r="M28" s="70" t="str">
        <f>'DES-AB-Internat'!C28</f>
        <v>X</v>
      </c>
      <c r="N28" s="70" t="str">
        <f>'DES-AB-CHARTRES'!C28</f>
        <v>X</v>
      </c>
      <c r="O28" s="70" t="str">
        <f>'DES-AB-VERNOUILLET'!C28</f>
        <v>X</v>
      </c>
      <c r="P28" s="70" t="str">
        <f>'DES-AB-2SAI'!C28</f>
        <v>X</v>
      </c>
      <c r="Q28" s="75"/>
      <c r="R28" s="70" t="str">
        <f>'CMPP-DREUX'!C28</f>
        <v>X</v>
      </c>
      <c r="S28" s="74"/>
      <c r="T28" s="70">
        <f>'CMPP-CHARTRES'!C28</f>
        <v>0</v>
      </c>
      <c r="U28" s="70" t="str">
        <f>'CMPP-CHATEAUDUN'!C28</f>
        <v>X</v>
      </c>
      <c r="V28" s="73"/>
      <c r="W28" s="70" t="str">
        <f>'DITEP-SENONCHES'!C28</f>
        <v>X</v>
      </c>
      <c r="X28" s="70">
        <f>'DITEP-MORANCEZ'!C28</f>
        <v>0</v>
      </c>
      <c r="Y28" s="79"/>
      <c r="Z28" s="70" t="str">
        <f>'PISP-DDAISP-ESATHM'!C28</f>
        <v>X</v>
      </c>
      <c r="AA28" s="70" t="str">
        <f>'PIPSP habitat inclusif'!C28</f>
        <v>X  Pas d'obligation</v>
      </c>
      <c r="AB28" s="70" t="s">
        <v>26</v>
      </c>
    </row>
    <row r="29" spans="1:28" x14ac:dyDescent="0.3">
      <c r="A29" s="6" t="s">
        <v>52</v>
      </c>
      <c r="B29" s="9"/>
      <c r="C29" s="70">
        <f>CDLA!C29</f>
        <v>45832</v>
      </c>
      <c r="D29" s="52"/>
      <c r="E29" s="70">
        <f>'DAME-AF-SEES'!C29</f>
        <v>45989</v>
      </c>
      <c r="F29" s="70">
        <f>'DAME-AF-SIPFP'!C29</f>
        <v>45658</v>
      </c>
      <c r="G29" s="70">
        <f>'DAME-AF+GEM-Clémenceau'!C29</f>
        <v>0</v>
      </c>
      <c r="H29" s="70" t="str">
        <f>'DAME-AF-Internat'!C29</f>
        <v>X</v>
      </c>
      <c r="I29" s="73"/>
      <c r="J29" s="70">
        <f>'DAME-BD'!C29</f>
        <v>45812</v>
      </c>
      <c r="K29" s="74"/>
      <c r="L29" s="70">
        <f>'DES-AB-NLR'!C29</f>
        <v>45809</v>
      </c>
      <c r="M29" s="70">
        <f>'DES-AB-Internat'!C29</f>
        <v>45809</v>
      </c>
      <c r="N29" s="70">
        <f>'DES-AB-CHARTRES'!C29</f>
        <v>0</v>
      </c>
      <c r="O29" s="70">
        <f>'DES-AB-VERNOUILLET'!C29</f>
        <v>45809</v>
      </c>
      <c r="P29" s="70">
        <f>'DES-AB-2SAI'!C29</f>
        <v>0</v>
      </c>
      <c r="Q29" s="75"/>
      <c r="R29" s="70">
        <f>'CMPP-DREUX'!C29</f>
        <v>45811</v>
      </c>
      <c r="S29" s="74"/>
      <c r="T29" s="70">
        <f>'CMPP-CHARTRES'!C29</f>
        <v>0</v>
      </c>
      <c r="U29" s="70">
        <f>'CMPP-CHATEAUDUN'!C29</f>
        <v>0</v>
      </c>
      <c r="V29" s="73"/>
      <c r="W29" s="70">
        <f>'DITEP-SENONCHES'!C29</f>
        <v>0</v>
      </c>
      <c r="X29" s="70">
        <f>'DITEP-MORANCEZ'!C29</f>
        <v>45861</v>
      </c>
      <c r="Y29" s="79"/>
      <c r="Z29" s="70">
        <f>'PISP-DDAISP-ESATHM'!C29</f>
        <v>45846</v>
      </c>
      <c r="AA29" s="70" t="str">
        <f>'PIPSP habitat inclusif'!C29</f>
        <v>X  Pas d'obligation</v>
      </c>
      <c r="AB29" s="70" t="s">
        <v>26</v>
      </c>
    </row>
    <row r="30" spans="1:28" x14ac:dyDescent="0.3">
      <c r="A30" s="6" t="s">
        <v>53</v>
      </c>
      <c r="B30" s="9"/>
      <c r="C30" s="70">
        <f>CDLA!C30</f>
        <v>45832</v>
      </c>
      <c r="D30" s="52"/>
      <c r="E30" s="70">
        <f>'DAME-AF-SEES'!C30</f>
        <v>0</v>
      </c>
      <c r="F30" s="70">
        <f>'DAME-AF-SIPFP'!C30</f>
        <v>45658</v>
      </c>
      <c r="G30" s="70">
        <f>'DAME-AF+GEM-Clémenceau'!C30</f>
        <v>0</v>
      </c>
      <c r="H30" s="70" t="str">
        <f>'DAME-AF-Internat'!C30</f>
        <v>X</v>
      </c>
      <c r="I30" s="73"/>
      <c r="J30" s="70">
        <f>'DAME-BD'!C30</f>
        <v>45804</v>
      </c>
      <c r="K30" s="74"/>
      <c r="L30" s="70">
        <f>'DES-AB-NLR'!C30</f>
        <v>45809</v>
      </c>
      <c r="M30" s="70">
        <f>'DES-AB-Internat'!C30</f>
        <v>45809</v>
      </c>
      <c r="N30" s="70">
        <f>'DES-AB-CHARTRES'!C30</f>
        <v>0</v>
      </c>
      <c r="O30" s="70">
        <f>'DES-AB-VERNOUILLET'!C30</f>
        <v>0</v>
      </c>
      <c r="P30" s="70">
        <f>'DES-AB-2SAI'!C30</f>
        <v>0</v>
      </c>
      <c r="Q30" s="75"/>
      <c r="R30" s="70">
        <f>'CMPP-DREUX'!C30</f>
        <v>45811</v>
      </c>
      <c r="S30" s="74"/>
      <c r="T30" s="70">
        <f>'CMPP-CHARTRES'!C30</f>
        <v>0</v>
      </c>
      <c r="U30" s="70" t="str">
        <f>'CMPP-CHATEAUDUN'!C30</f>
        <v>X</v>
      </c>
      <c r="V30" s="73"/>
      <c r="W30" s="70">
        <f>'DITEP-SENONCHES'!C30</f>
        <v>0</v>
      </c>
      <c r="X30" s="70">
        <f>'DITEP-MORANCEZ'!C30</f>
        <v>45861</v>
      </c>
      <c r="Y30" s="79"/>
      <c r="Z30" s="70">
        <f>'PISP-DDAISP-ESATHM'!C30</f>
        <v>45846</v>
      </c>
      <c r="AA30" s="70" t="str">
        <f>'PIPSP habitat inclusif'!C30</f>
        <v>X  Pas d'obligation</v>
      </c>
      <c r="AB30" s="70" t="s">
        <v>26</v>
      </c>
    </row>
    <row r="31" spans="1:28" x14ac:dyDescent="0.3">
      <c r="A31" s="6" t="s">
        <v>54</v>
      </c>
      <c r="B31" s="9" t="s">
        <v>55</v>
      </c>
      <c r="C31" s="70">
        <f>CDLA!C31</f>
        <v>0</v>
      </c>
      <c r="D31" s="80"/>
      <c r="E31" s="70">
        <f>'DAME-AF-SEES'!C31</f>
        <v>45698</v>
      </c>
      <c r="F31" s="70">
        <f>'DAME-AF-SIPFP'!C31</f>
        <v>45698</v>
      </c>
      <c r="G31" s="70">
        <f>'DAME-AF+GEM-Clémenceau'!C31</f>
        <v>1</v>
      </c>
      <c r="H31" s="70">
        <f>'DAME-AF-Internat'!C31</f>
        <v>0</v>
      </c>
      <c r="I31" s="73"/>
      <c r="J31" s="70">
        <f>'DAME-BD'!C31</f>
        <v>45964</v>
      </c>
      <c r="K31" s="74"/>
      <c r="L31" s="70">
        <f>'DES-AB-NLR'!C31</f>
        <v>45627</v>
      </c>
      <c r="M31" s="70">
        <f>'DES-AB-Internat'!C31</f>
        <v>45954</v>
      </c>
      <c r="N31" s="70">
        <f>'DES-AB-CHARTRES'!C31</f>
        <v>45627</v>
      </c>
      <c r="O31" s="70">
        <f>'DES-AB-VERNOUILLET'!C31</f>
        <v>45627</v>
      </c>
      <c r="P31" s="70">
        <f>'DES-AB-2SAI'!C31</f>
        <v>0</v>
      </c>
      <c r="Q31" s="75"/>
      <c r="R31" s="70">
        <f>'CMPP-DREUX'!C31</f>
        <v>45698</v>
      </c>
      <c r="S31" s="74"/>
      <c r="T31" s="70">
        <f>'CMPP-CHARTRES'!C31</f>
        <v>45964</v>
      </c>
      <c r="U31" s="70">
        <f>'CMPP-CHATEAUDUN'!C31</f>
        <v>45200</v>
      </c>
      <c r="V31" s="73"/>
      <c r="W31" s="70">
        <f>'DITEP-SENONCHES'!C31</f>
        <v>0</v>
      </c>
      <c r="X31" s="70">
        <f>'DITEP-MORANCEZ'!C31</f>
        <v>45536</v>
      </c>
      <c r="Y31" s="79"/>
      <c r="Z31" s="70">
        <f>'PISP-DDAISP-ESATHM'!C31</f>
        <v>45736</v>
      </c>
      <c r="AA31" s="70" t="str">
        <f>'PIPSP habitat inclusif'!C31</f>
        <v>X  Pas d'obligation</v>
      </c>
      <c r="AB31" s="70" t="s">
        <v>26</v>
      </c>
    </row>
    <row r="32" spans="1:28" x14ac:dyDescent="0.3">
      <c r="A32" s="6" t="s">
        <v>56</v>
      </c>
      <c r="B32" s="9" t="s">
        <v>55</v>
      </c>
      <c r="C32" s="70">
        <f>CDLA!C32</f>
        <v>0</v>
      </c>
      <c r="D32" s="80"/>
      <c r="E32" s="70">
        <f>'DAME-AF-SEES'!C32</f>
        <v>46057</v>
      </c>
      <c r="F32" s="70">
        <f>'DAME-AF-SIPFP'!C32</f>
        <v>46057</v>
      </c>
      <c r="G32" s="70">
        <f>'DAME-AF+GEM-Clémenceau'!C32</f>
        <v>43556</v>
      </c>
      <c r="H32" s="70">
        <f>'DAME-AF-Internat'!C32</f>
        <v>43556</v>
      </c>
      <c r="I32" s="73"/>
      <c r="J32" s="70">
        <f>'DAME-BD'!C32</f>
        <v>45751</v>
      </c>
      <c r="K32" s="74"/>
      <c r="L32" s="85">
        <f>'DES-AB-NLR'!C32</f>
        <v>46057</v>
      </c>
      <c r="M32" s="70">
        <f>'DES-AB-Internat'!C32</f>
        <v>45952</v>
      </c>
      <c r="N32" s="70">
        <f>'DES-AB-CHARTRES'!C32</f>
        <v>45627</v>
      </c>
      <c r="O32" s="70">
        <f>'DES-AB-VERNOUILLET'!C32</f>
        <v>45627</v>
      </c>
      <c r="P32" s="70">
        <f>'DES-AB-2SAI'!C32</f>
        <v>45627</v>
      </c>
      <c r="Q32" s="75"/>
      <c r="R32" s="70">
        <f>'CMPP-DREUX'!C32</f>
        <v>45383</v>
      </c>
      <c r="S32" s="74"/>
      <c r="T32" s="70">
        <f>'CMPP-CHARTRES'!C32</f>
        <v>45757</v>
      </c>
      <c r="U32" s="70">
        <f>'CMPP-CHATEAUDUN'!C32</f>
        <v>45757</v>
      </c>
      <c r="V32" s="73"/>
      <c r="W32" s="70">
        <f>'DITEP-SENONCHES'!C32</f>
        <v>45943</v>
      </c>
      <c r="X32" s="70">
        <f>'DITEP-MORANCEZ'!C32</f>
        <v>45943</v>
      </c>
      <c r="Y32" s="79"/>
      <c r="Z32" s="70">
        <f>'PISP-DDAISP-ESATHM'!C32</f>
        <v>45701</v>
      </c>
      <c r="AA32" s="70" t="str">
        <f>'PIPSP habitat inclusif'!C32</f>
        <v>X  Pas d'obligation</v>
      </c>
      <c r="AB32" s="70" t="s">
        <v>26</v>
      </c>
    </row>
    <row r="33" spans="1:28" x14ac:dyDescent="0.3">
      <c r="A33" s="6" t="s">
        <v>57</v>
      </c>
      <c r="B33" s="9" t="s">
        <v>55</v>
      </c>
      <c r="C33" s="70">
        <f>CDLA!C33</f>
        <v>0</v>
      </c>
      <c r="D33" s="80"/>
      <c r="E33" s="70">
        <f>'DAME-AF-SEES'!C33</f>
        <v>0</v>
      </c>
      <c r="F33" s="70">
        <f>'DAME-AF-SIPFP'!C33</f>
        <v>0</v>
      </c>
      <c r="G33" s="70">
        <f>'DAME-AF+GEM-Clémenceau'!C33</f>
        <v>1</v>
      </c>
      <c r="H33" s="70">
        <f>'DAME-AF-Internat'!C33</f>
        <v>45931</v>
      </c>
      <c r="I33" s="73"/>
      <c r="J33" s="70">
        <f>'DAME-BD'!C33</f>
        <v>45960</v>
      </c>
      <c r="K33" s="74"/>
      <c r="L33" s="70">
        <f>'DES-AB-NLR'!C33</f>
        <v>45717</v>
      </c>
      <c r="M33" s="70">
        <f>'DES-AB-Internat'!C33</f>
        <v>46087</v>
      </c>
      <c r="N33" s="70">
        <f>'DES-AB-CHARTRES'!C33</f>
        <v>45911</v>
      </c>
      <c r="O33" s="70">
        <f>'DES-AB-VERNOUILLET'!C33</f>
        <v>45911</v>
      </c>
      <c r="P33" s="70">
        <f>'DES-AB-2SAI'!C33</f>
        <v>0</v>
      </c>
      <c r="Q33" s="75"/>
      <c r="R33" s="70">
        <f>'CMPP-DREUX'!C33</f>
        <v>45536</v>
      </c>
      <c r="S33" s="74"/>
      <c r="T33" s="70">
        <f>'CMPP-CHARTRES'!C33</f>
        <v>45757</v>
      </c>
      <c r="U33" s="70">
        <f>'CMPP-CHATEAUDUN'!C33</f>
        <v>45757</v>
      </c>
      <c r="V33" s="73"/>
      <c r="W33" s="70">
        <f>'DITEP-SENONCHES'!C33</f>
        <v>45231</v>
      </c>
      <c r="X33" s="70">
        <f>'DITEP-MORANCEZ'!C33</f>
        <v>45383</v>
      </c>
      <c r="Y33" s="79"/>
      <c r="Z33" s="70">
        <f>'PISP-DDAISP-ESATHM'!C33</f>
        <v>45444</v>
      </c>
      <c r="AA33" s="70" t="str">
        <f>'PIPSP habitat inclusif'!C33</f>
        <v>X  Pas d'obligation</v>
      </c>
      <c r="AB33" s="70" t="s">
        <v>26</v>
      </c>
    </row>
    <row r="34" spans="1:28" x14ac:dyDescent="0.3">
      <c r="A34" s="6" t="s">
        <v>58</v>
      </c>
      <c r="B34" s="9" t="s">
        <v>55</v>
      </c>
      <c r="C34" s="70" t="str">
        <f>CDLA!C34</f>
        <v>X</v>
      </c>
      <c r="D34" s="80"/>
      <c r="E34" s="70">
        <f>'DAME-AF-SEES'!C34</f>
        <v>45771</v>
      </c>
      <c r="F34" s="70">
        <f>'DAME-AF-SIPFP'!C34</f>
        <v>45771</v>
      </c>
      <c r="G34" s="70">
        <f>'DAME-AF+GEM-Clémenceau'!C34</f>
        <v>45771</v>
      </c>
      <c r="H34" s="70">
        <f>'DAME-AF-Internat'!C34</f>
        <v>45771</v>
      </c>
      <c r="I34" s="73"/>
      <c r="J34" s="70">
        <f>'DAME-BD'!C34</f>
        <v>45385</v>
      </c>
      <c r="K34" s="74"/>
      <c r="L34" s="70">
        <f>'DES-AB-NLR'!C34</f>
        <v>45383</v>
      </c>
      <c r="M34" s="70">
        <f>'DES-AB-Internat'!C34</f>
        <v>45383</v>
      </c>
      <c r="N34" s="70">
        <f>'DES-AB-CHARTRES'!C34</f>
        <v>45383</v>
      </c>
      <c r="O34" s="70">
        <f>'DES-AB-VERNOUILLET'!C34</f>
        <v>45383</v>
      </c>
      <c r="P34" s="70">
        <f>'DES-AB-2SAI'!C34</f>
        <v>45383</v>
      </c>
      <c r="Q34" s="75"/>
      <c r="R34" s="70" t="str">
        <f>'CMPP-DREUX'!C34</f>
        <v>X</v>
      </c>
      <c r="S34" s="74"/>
      <c r="T34" s="70">
        <f>'CMPP-CHARTRES'!C34</f>
        <v>45770</v>
      </c>
      <c r="U34" s="70">
        <f>'CMPP-CHATEAUDUN'!C34</f>
        <v>45770</v>
      </c>
      <c r="V34" s="73"/>
      <c r="W34" s="70">
        <f>'DITEP-SENONCHES'!C34</f>
        <v>45770</v>
      </c>
      <c r="X34" s="70">
        <f>'DITEP-MORANCEZ'!C34</f>
        <v>45770</v>
      </c>
      <c r="Y34" s="79"/>
      <c r="Z34" s="70" t="str">
        <f>'PISP-DDAISP-ESATHM'!C34</f>
        <v>X</v>
      </c>
      <c r="AA34" s="70" t="str">
        <f>'PIPSP habitat inclusif'!C34</f>
        <v>X  Pas d'obligation</v>
      </c>
      <c r="AB34" s="70" t="s">
        <v>26</v>
      </c>
    </row>
    <row r="35" spans="1:28" x14ac:dyDescent="0.3">
      <c r="A35" s="6" t="s">
        <v>59</v>
      </c>
      <c r="B35" s="9"/>
      <c r="C35" s="70" t="str">
        <f>IF(CDLA!C35="", "", CDLA!C35)</f>
        <v/>
      </c>
      <c r="D35" s="80"/>
      <c r="E35" s="70" t="str">
        <f>IF('DAME-AF-SEES'!C35="", "", 'DAME-AF-SEES'!C35)</f>
        <v/>
      </c>
      <c r="F35" s="70" t="str">
        <f>IF('DAME-AF-SIPFP'!C35="","",'DAME-AF-SIPFP'!C35)</f>
        <v/>
      </c>
      <c r="G35" s="70" t="str">
        <f>IF('DAME-AF+GEM-Clémenceau'!C35="","",'DAME-AF+GEM-Clémenceau'!C35)</f>
        <v/>
      </c>
      <c r="H35" s="70" t="str">
        <f>IF('DAME-AF-Internat'!C35="","",'DAME-AF-Internat'!C35)</f>
        <v>X  Pas d'obligation</v>
      </c>
      <c r="I35" s="73"/>
      <c r="J35" s="70">
        <f>IF('DAME-BD'!C35="", "", 'DAME-BD'!C35)</f>
        <v>45979</v>
      </c>
      <c r="K35" s="74"/>
      <c r="L35" s="70">
        <f>IF('DES-AB-NLR'!C35="", "", 'DES-AB-NLR'!C35)</f>
        <v>44256</v>
      </c>
      <c r="M35" s="70" t="str">
        <f>IF('DES-AB-Internat'!C35="", "", 'DES-AB-Internat'!C35)</f>
        <v/>
      </c>
      <c r="N35" s="70" t="str">
        <f>IF('DES-AB-CHARTRES'!C35="", "", 'DES-AB-CHARTRES'!C35)</f>
        <v/>
      </c>
      <c r="O35" s="70" t="str">
        <f>IF('DES-AB-VERNOUILLET'!C35="", "", 'DES-AB-VERNOUILLET'!C35)</f>
        <v/>
      </c>
      <c r="P35" s="70">
        <f>IF('DES-AB-2SAI'!C35="", "", 'DES-AB-2SAI'!C35)</f>
        <v>0</v>
      </c>
      <c r="Q35" s="75"/>
      <c r="R35" s="70">
        <f>IF('CMPP-DREUX'!C35="", "", 'CMPP-DREUX'!C35)</f>
        <v>0</v>
      </c>
      <c r="S35" s="74"/>
      <c r="T35" s="70">
        <f>IF('CMPP-CHARTRES'!C35="", "", 'CMPP-CHARTRES'!C35)</f>
        <v>42675</v>
      </c>
      <c r="U35" s="70" t="str">
        <f>IF('CMPP-CHATEAUDUN'!C35="", "", 'CMPP-CHATEAUDUN'!C35)</f>
        <v/>
      </c>
      <c r="V35" s="73"/>
      <c r="W35" s="70">
        <f>IF('DITEP-SENONCHES'!C35="", "", 'DITEP-SENONCHES'!C35)</f>
        <v>0</v>
      </c>
      <c r="X35" s="70" t="str">
        <f>IF('DITEP-MORANCEZ'!C35="", "", 'DITEP-MORANCEZ'!C35)</f>
        <v/>
      </c>
      <c r="Y35" s="79"/>
      <c r="Z35" s="70">
        <f>IF('PISP-DDAISP-ESATHM'!C35="", "", 'PISP-DDAISP-ESATHM'!C35)</f>
        <v>45261</v>
      </c>
      <c r="AA35" s="70" t="str">
        <f>IF('PIPSP habitat inclusif'!C35="", "", 'PIPSP habitat inclusif'!C35)</f>
        <v>X  Pas d'obligation</v>
      </c>
      <c r="AB35" s="70"/>
    </row>
    <row r="36" spans="1:28" x14ac:dyDescent="0.3">
      <c r="A36" s="6" t="s">
        <v>60</v>
      </c>
      <c r="B36" s="9" t="s">
        <v>61</v>
      </c>
      <c r="C36" s="70">
        <f>CDLA!C36</f>
        <v>42856</v>
      </c>
      <c r="D36" s="52"/>
      <c r="E36" s="70">
        <f>'DAME-AF-SEES'!C36</f>
        <v>45444</v>
      </c>
      <c r="F36" s="70">
        <f>'DAME-AF-SIPFP'!C36</f>
        <v>45444</v>
      </c>
      <c r="G36" s="70">
        <f>'DAME-AF+GEM-Clémenceau'!C36</f>
        <v>0</v>
      </c>
      <c r="H36" s="70" t="str">
        <f>'DAME-AF-Internat'!C36</f>
        <v>X</v>
      </c>
      <c r="I36" s="73"/>
      <c r="J36" s="70" t="str">
        <f>'DAME-BD'!C36</f>
        <v>X</v>
      </c>
      <c r="K36" s="74"/>
      <c r="L36" s="70">
        <f>'DES-AB-NLR'!C36</f>
        <v>42644</v>
      </c>
      <c r="M36" s="70">
        <f>'DES-AB-Internat'!C36</f>
        <v>39326</v>
      </c>
      <c r="N36" s="70">
        <f>'DES-AB-CHARTRES'!C36</f>
        <v>0</v>
      </c>
      <c r="O36" s="70">
        <f>'DES-AB-VERNOUILLET'!C36</f>
        <v>0</v>
      </c>
      <c r="P36" s="70">
        <f>'DES-AB-2SAI'!C36</f>
        <v>0</v>
      </c>
      <c r="Q36" s="75"/>
      <c r="R36" s="70">
        <f>'CMPP-DREUX'!C36</f>
        <v>0</v>
      </c>
      <c r="S36" s="74"/>
      <c r="T36" s="70" t="str">
        <f>'CMPP-CHARTRES'!C36</f>
        <v>X</v>
      </c>
      <c r="U36" s="70">
        <f>'CMPP-CHATEAUDUN'!C36</f>
        <v>0</v>
      </c>
      <c r="V36" s="73"/>
      <c r="W36" s="70">
        <f>'DITEP-SENONCHES'!C36</f>
        <v>41821</v>
      </c>
      <c r="X36" s="70" t="s">
        <v>26</v>
      </c>
      <c r="Y36" s="79"/>
      <c r="Z36" s="70">
        <f>'PISP-DDAISP-ESATHM'!C36</f>
        <v>0</v>
      </c>
      <c r="AA36" s="70" t="str">
        <f>'PIPSP habitat inclusif'!C36</f>
        <v>X  Pas d'obligation</v>
      </c>
      <c r="AB36" s="70" t="s">
        <v>26</v>
      </c>
    </row>
    <row r="37" spans="1:28" x14ac:dyDescent="0.3">
      <c r="A37" s="6" t="s">
        <v>62</v>
      </c>
      <c r="B37" s="9"/>
      <c r="C37" s="70" t="str">
        <f>CDLA!C37</f>
        <v>X</v>
      </c>
      <c r="D37" s="52"/>
      <c r="E37" s="70">
        <f>'DAME-AF-SEES'!C37</f>
        <v>0</v>
      </c>
      <c r="F37" s="70">
        <f>'DAME-AF-SIPFP'!C37</f>
        <v>0</v>
      </c>
      <c r="G37" s="70">
        <f>'DAME-AF+GEM-Clémenceau'!C37</f>
        <v>0</v>
      </c>
      <c r="H37" s="70" t="str">
        <f>'DAME-AF-Internat'!C37</f>
        <v>X</v>
      </c>
      <c r="I37" s="73"/>
      <c r="J37" s="70" t="str">
        <f>'DAME-BD'!C37</f>
        <v>X</v>
      </c>
      <c r="K37" s="74"/>
      <c r="L37" s="70">
        <f>'DES-AB-NLR'!C37</f>
        <v>0</v>
      </c>
      <c r="M37" s="70" t="str">
        <f>'DES-AB-Internat'!C37</f>
        <v>X</v>
      </c>
      <c r="N37" s="70">
        <f>'DES-AB-CHARTRES'!C37</f>
        <v>45809</v>
      </c>
      <c r="O37" s="70">
        <f>'DES-AB-VERNOUILLET'!C37</f>
        <v>44562</v>
      </c>
      <c r="P37" s="70" t="str">
        <f>'DES-AB-2SAI'!C37</f>
        <v>X</v>
      </c>
      <c r="Q37" s="75"/>
      <c r="R37" s="70">
        <f>'CMPP-DREUX'!C37</f>
        <v>44409</v>
      </c>
      <c r="S37" s="74"/>
      <c r="T37" s="70" t="str">
        <f>'CMPP-CHARTRES'!C37</f>
        <v>X</v>
      </c>
      <c r="U37" s="70" t="str">
        <f>'CMPP-CHATEAUDUN'!C37</f>
        <v>X</v>
      </c>
      <c r="V37" s="73"/>
      <c r="W37" s="70">
        <f>'DITEP-SENONCHES'!C37</f>
        <v>0</v>
      </c>
      <c r="X37" s="70">
        <f>'DITEP-MORANCEZ'!C37</f>
        <v>0</v>
      </c>
      <c r="Y37" s="79"/>
      <c r="Z37" s="70">
        <f>'PISP-DDAISP-ESATHM'!C37</f>
        <v>45796</v>
      </c>
      <c r="AA37" s="70" t="str">
        <f>'PIPSP habitat inclusif'!C37</f>
        <v>X  Pas d'obligation</v>
      </c>
      <c r="AB37" s="70" t="s">
        <v>26</v>
      </c>
    </row>
    <row r="38" spans="1:28" x14ac:dyDescent="0.3">
      <c r="A38" s="6" t="s">
        <v>63</v>
      </c>
      <c r="B38" s="9"/>
      <c r="C38" s="70">
        <f>CDLA!C38</f>
        <v>45832</v>
      </c>
      <c r="D38" s="52"/>
      <c r="E38" s="70">
        <f>'DAME-AF-SEES'!C38</f>
        <v>0</v>
      </c>
      <c r="F38" s="70">
        <f>'DAME-AF-SIPFP'!C38</f>
        <v>0</v>
      </c>
      <c r="G38" s="70">
        <f>'DAME-AF+GEM-Clémenceau'!C38</f>
        <v>0</v>
      </c>
      <c r="H38" s="70" t="str">
        <f>'DAME-AF-Internat'!C38</f>
        <v>X</v>
      </c>
      <c r="I38" s="73"/>
      <c r="J38" s="70">
        <f>'DAME-BD'!C38</f>
        <v>0</v>
      </c>
      <c r="K38" s="74"/>
      <c r="L38" s="70">
        <f>'DES-AB-NLR'!C38</f>
        <v>0</v>
      </c>
      <c r="M38" s="70">
        <f>'DES-AB-Internat'!C38</f>
        <v>0</v>
      </c>
      <c r="N38" s="70">
        <f>'DES-AB-CHARTRES'!C38</f>
        <v>45809</v>
      </c>
      <c r="O38" s="70">
        <f>'DES-AB-VERNOUILLET'!C38</f>
        <v>44562</v>
      </c>
      <c r="P38" s="70">
        <f>'DES-AB-2SAI'!C38</f>
        <v>44470</v>
      </c>
      <c r="Q38" s="75"/>
      <c r="R38" s="70">
        <f>'CMPP-DREUX'!C38</f>
        <v>44409</v>
      </c>
      <c r="S38" s="74"/>
      <c r="T38" s="70">
        <f>'CMPP-CHARTRES'!C38</f>
        <v>0</v>
      </c>
      <c r="U38" s="70">
        <f>'CMPP-CHATEAUDUN'!C38</f>
        <v>0</v>
      </c>
      <c r="V38" s="73"/>
      <c r="W38" s="70">
        <f>'DITEP-SENONCHES'!C38</f>
        <v>0</v>
      </c>
      <c r="X38" s="70">
        <f>'DITEP-MORANCEZ'!C38</f>
        <v>0</v>
      </c>
      <c r="Y38" s="79"/>
      <c r="Z38" s="70">
        <f>'PISP-DDAISP-ESATHM'!C38</f>
        <v>45796</v>
      </c>
      <c r="AA38" s="70" t="str">
        <f>'PIPSP habitat inclusif'!C38</f>
        <v>X  Pas d'obligation</v>
      </c>
      <c r="AB38" s="70" t="s">
        <v>26</v>
      </c>
    </row>
    <row r="39" spans="1:28" x14ac:dyDescent="0.3">
      <c r="A39" s="6" t="s">
        <v>64</v>
      </c>
      <c r="B39" s="9"/>
      <c r="C39" s="70">
        <f>CDLA!C39</f>
        <v>45832</v>
      </c>
      <c r="D39" s="52"/>
      <c r="E39" s="70">
        <f>'DAME-AF-SEES'!C39</f>
        <v>0</v>
      </c>
      <c r="F39" s="70">
        <f>'DAME-AF-SIPFP'!C39</f>
        <v>0</v>
      </c>
      <c r="G39" s="70">
        <f>'DAME-AF+GEM-Clémenceau'!C39</f>
        <v>0</v>
      </c>
      <c r="H39" s="70" t="str">
        <f>'DAME-AF-Internat'!C39</f>
        <v>X</v>
      </c>
      <c r="I39" s="73"/>
      <c r="J39" s="70">
        <f>'DAME-BD'!C39</f>
        <v>0</v>
      </c>
      <c r="K39" s="74"/>
      <c r="L39" s="70">
        <f>'DES-AB-NLR'!C39</f>
        <v>45809</v>
      </c>
      <c r="M39" s="70">
        <f>'DES-AB-Internat'!C39</f>
        <v>0</v>
      </c>
      <c r="N39" s="70">
        <f>'DES-AB-CHARTRES'!C39</f>
        <v>45809</v>
      </c>
      <c r="O39" s="70">
        <f>'DES-AB-VERNOUILLET'!C39</f>
        <v>44562</v>
      </c>
      <c r="P39" s="70">
        <f>'DES-AB-2SAI'!C39</f>
        <v>44470</v>
      </c>
      <c r="Q39" s="75"/>
      <c r="R39" s="70">
        <f>'CMPP-DREUX'!C39</f>
        <v>44409</v>
      </c>
      <c r="S39" s="74"/>
      <c r="T39" s="70">
        <f>'CMPP-CHARTRES'!C39</f>
        <v>0</v>
      </c>
      <c r="U39" s="70">
        <f>'CMPP-CHATEAUDUN'!C39</f>
        <v>0</v>
      </c>
      <c r="V39" s="73"/>
      <c r="W39" s="70">
        <f>'DITEP-SENONCHES'!C39</f>
        <v>0</v>
      </c>
      <c r="X39" s="70">
        <f>'DITEP-MORANCEZ'!C39</f>
        <v>0</v>
      </c>
      <c r="Y39" s="79"/>
      <c r="Z39" s="70">
        <f>'PISP-DDAISP-ESATHM'!C39</f>
        <v>45796</v>
      </c>
      <c r="AA39" s="70" t="str">
        <f>'PIPSP habitat inclusif'!C39</f>
        <v>X  Pas d'obligation</v>
      </c>
      <c r="AB39" s="70" t="s">
        <v>26</v>
      </c>
    </row>
    <row r="40" spans="1:28" x14ac:dyDescent="0.3">
      <c r="A40" s="6" t="s">
        <v>65</v>
      </c>
      <c r="B40" s="9"/>
      <c r="C40" s="70">
        <f>CDLA!C40</f>
        <v>45832</v>
      </c>
      <c r="D40" s="52"/>
      <c r="E40" s="70">
        <f>'DAME-AF-SEES'!C40</f>
        <v>46007</v>
      </c>
      <c r="F40" s="70">
        <f>'DAME-AF-SIPFP'!C40</f>
        <v>46007</v>
      </c>
      <c r="G40" s="70">
        <f>'DAME-AF+GEM-Clémenceau'!C40</f>
        <v>45636</v>
      </c>
      <c r="H40" s="70" t="str">
        <f>'DAME-AF-Internat'!C40</f>
        <v>X</v>
      </c>
      <c r="I40" s="73"/>
      <c r="J40" s="70">
        <f>'DAME-BD'!C40</f>
        <v>45812</v>
      </c>
      <c r="K40" s="74"/>
      <c r="L40" s="70">
        <f>'DES-AB-NLR'!C40</f>
        <v>45574</v>
      </c>
      <c r="M40" s="85">
        <f>'DES-AB-Internat'!C40</f>
        <v>45574</v>
      </c>
      <c r="N40" s="70">
        <f>'DES-AB-CHARTRES'!C40</f>
        <v>45574</v>
      </c>
      <c r="O40" s="70">
        <f>'DES-AB-VERNOUILLET'!C40</f>
        <v>45574</v>
      </c>
      <c r="P40" s="70">
        <f>'DES-AB-2SAI'!C40</f>
        <v>45574</v>
      </c>
      <c r="Q40" s="75"/>
      <c r="R40" s="70">
        <f>'CMPP-DREUX'!C40</f>
        <v>45812</v>
      </c>
      <c r="S40" s="74"/>
      <c r="T40" s="70">
        <f>'CMPP-CHARTRES'!C40</f>
        <v>45901</v>
      </c>
      <c r="U40" s="70">
        <f>'CMPP-CHATEAUDUN'!C40</f>
        <v>45292</v>
      </c>
      <c r="V40" s="73"/>
      <c r="W40" s="70">
        <f>'DITEP-SENONCHES'!C40</f>
        <v>45811</v>
      </c>
      <c r="X40" s="70">
        <f>'DITEP-MORANCEZ'!C40</f>
        <v>45536</v>
      </c>
      <c r="Y40" s="79"/>
      <c r="Z40" s="70">
        <f>'PISP-DDAISP-ESATHM'!C40</f>
        <v>45846</v>
      </c>
      <c r="AA40" s="70" t="str">
        <f>'PIPSP habitat inclusif'!C40</f>
        <v>X  Pas d'obligation</v>
      </c>
      <c r="AB40" s="70" t="s">
        <v>26</v>
      </c>
    </row>
    <row r="41" spans="1:28" x14ac:dyDescent="0.3">
      <c r="A41" s="6" t="s">
        <v>66</v>
      </c>
      <c r="B41" s="17"/>
      <c r="C41" s="70" t="str">
        <f>CDLA!C41</f>
        <v>X</v>
      </c>
      <c r="D41" s="52"/>
      <c r="E41" s="70">
        <f>'DAME-AF-SEES'!C41</f>
        <v>46002</v>
      </c>
      <c r="F41" s="70">
        <f>'DAME-AF-SIPFP'!C41</f>
        <v>46002</v>
      </c>
      <c r="G41" s="70" t="str">
        <f>'DAME-AF+GEM-Clémenceau'!C41</f>
        <v>X</v>
      </c>
      <c r="H41" s="70" t="str">
        <f>'DAME-AF-Internat'!C41</f>
        <v>X</v>
      </c>
      <c r="I41" s="73"/>
      <c r="J41" s="70" t="str">
        <f>'DAME-BD'!C41</f>
        <v>X</v>
      </c>
      <c r="K41" s="74"/>
      <c r="L41" s="70">
        <f>'DES-AB-NLR'!C41</f>
        <v>0</v>
      </c>
      <c r="M41" s="70" t="str">
        <f>'DES-AB-Internat'!C41</f>
        <v>X</v>
      </c>
      <c r="N41" s="70">
        <f>'DES-AB-CHARTRES'!C41</f>
        <v>0</v>
      </c>
      <c r="O41" s="70" t="str">
        <f>'DES-AB-VERNOUILLET'!C41</f>
        <v>X</v>
      </c>
      <c r="P41" s="70" t="str">
        <f>'DES-AB-2SAI'!C41</f>
        <v>X</v>
      </c>
      <c r="Q41" s="75"/>
      <c r="R41" s="70" t="str">
        <f>'CMPP-DREUX'!C41</f>
        <v>X</v>
      </c>
      <c r="S41" s="74"/>
      <c r="T41" s="70" t="str">
        <f>'CMPP-CHARTRES'!C41</f>
        <v>X</v>
      </c>
      <c r="U41" s="70" t="str">
        <f>'CMPP-CHATEAUDUN'!C41</f>
        <v>X</v>
      </c>
      <c r="V41" s="73"/>
      <c r="W41" s="70">
        <f>'DITEP-SENONCHES'!C41</f>
        <v>0</v>
      </c>
      <c r="X41" s="70">
        <f>'DITEP-MORANCEZ'!C41</f>
        <v>0</v>
      </c>
      <c r="Y41" s="79"/>
      <c r="Z41" s="70" t="str">
        <f>'PISP-DDAISP-ESATHM'!C41</f>
        <v>X</v>
      </c>
      <c r="AA41" s="70" t="str">
        <f>'PIPSP habitat inclusif'!C41</f>
        <v>X  Pas d'obligation</v>
      </c>
      <c r="AB41" s="70" t="s">
        <v>26</v>
      </c>
    </row>
    <row r="42" spans="1:28" x14ac:dyDescent="0.3">
      <c r="A42" s="16" t="s">
        <v>67</v>
      </c>
      <c r="B42" s="17"/>
      <c r="C42" s="70">
        <f>CDLA!C42</f>
        <v>45832</v>
      </c>
      <c r="D42" s="52"/>
      <c r="E42" s="70">
        <f>'DAME-AF-SEES'!C42</f>
        <v>1</v>
      </c>
      <c r="F42" s="70">
        <f>'DAME-AF-SIPFP'!C42</f>
        <v>0</v>
      </c>
      <c r="G42" s="70">
        <f>'DAME-AF+GEM-Clémenceau'!C42</f>
        <v>0</v>
      </c>
      <c r="H42" s="70" t="str">
        <f>'DAME-AF-Internat'!C42</f>
        <v>X</v>
      </c>
      <c r="I42" s="73"/>
      <c r="J42" s="70">
        <f>'DAME-BD'!C42</f>
        <v>45804</v>
      </c>
      <c r="K42" s="74"/>
      <c r="L42" s="70">
        <f>'DES-AB-NLR'!C42</f>
        <v>45978</v>
      </c>
      <c r="M42" s="70">
        <f>'DES-AB-Internat'!C42</f>
        <v>45978</v>
      </c>
      <c r="N42" s="70">
        <f>'DES-AB-CHARTRES'!C42</f>
        <v>45978</v>
      </c>
      <c r="O42" s="70">
        <f>'DES-AB-VERNOUILLET'!C42</f>
        <v>45978</v>
      </c>
      <c r="P42" s="70">
        <f>'DES-AB-2SAI'!C42</f>
        <v>45978</v>
      </c>
      <c r="Q42" s="75"/>
      <c r="R42" s="70">
        <f>'CMPP-DREUX'!C42</f>
        <v>45804</v>
      </c>
      <c r="S42" s="74"/>
      <c r="T42" s="70">
        <f>'CMPP-CHARTRES'!C42</f>
        <v>45790</v>
      </c>
      <c r="U42" s="70">
        <f>'CMPP-CHATEAUDUN'!C42</f>
        <v>0</v>
      </c>
      <c r="V42" s="73"/>
      <c r="W42" s="70">
        <f>'DITEP-SENONCHES'!C42</f>
        <v>45811</v>
      </c>
      <c r="X42" s="70">
        <f>'DITEP-MORANCEZ'!C42</f>
        <v>45261</v>
      </c>
      <c r="Y42" s="79"/>
      <c r="Z42" s="70">
        <f>'PISP-DDAISP-ESATHM'!C42</f>
        <v>45818</v>
      </c>
      <c r="AA42" s="70" t="str">
        <f>'PIPSP habitat inclusif'!C42</f>
        <v>X  Pas d'obligation</v>
      </c>
      <c r="AB42" s="70" t="s">
        <v>26</v>
      </c>
    </row>
    <row r="43" spans="1:28" x14ac:dyDescent="0.3">
      <c r="A43" s="16" t="s">
        <v>68</v>
      </c>
      <c r="B43" s="17" t="s">
        <v>69</v>
      </c>
      <c r="C43" s="70">
        <f>CDLA!C43</f>
        <v>0</v>
      </c>
      <c r="D43" s="52"/>
      <c r="E43" s="70">
        <f>'DAME-AF-SEES'!C43</f>
        <v>44136</v>
      </c>
      <c r="F43" s="70">
        <f>'DAME-AF-SIPFP'!C43</f>
        <v>44136</v>
      </c>
      <c r="G43" s="70">
        <f>'DAME-AF+GEM-Clémenceau'!C43</f>
        <v>0</v>
      </c>
      <c r="H43" s="70">
        <f>'DAME-AF-Internat'!C43</f>
        <v>44136</v>
      </c>
      <c r="I43" s="73"/>
      <c r="J43" s="70">
        <f>'DAME-BD'!C43</f>
        <v>45243</v>
      </c>
      <c r="K43" s="74"/>
      <c r="L43" s="70">
        <f>'DES-AB-NLR'!C43</f>
        <v>45536</v>
      </c>
      <c r="M43" s="70">
        <f>'DES-AB-Internat'!C43</f>
        <v>45536</v>
      </c>
      <c r="N43" s="70">
        <f>'DES-AB-CHARTRES'!C43</f>
        <v>45536</v>
      </c>
      <c r="O43" s="70">
        <f>'DES-AB-VERNOUILLET'!C43</f>
        <v>45536</v>
      </c>
      <c r="P43" s="70">
        <f>'DES-AB-2SAI'!C43</f>
        <v>45536</v>
      </c>
      <c r="Q43" s="75"/>
      <c r="R43" s="70">
        <f>'CMPP-DREUX'!C43</f>
        <v>45474</v>
      </c>
      <c r="S43" s="74"/>
      <c r="T43" s="70">
        <f>'CMPP-CHARTRES'!C43</f>
        <v>45982</v>
      </c>
      <c r="U43" s="70">
        <f>'CMPP-CHATEAUDUN'!C43</f>
        <v>0</v>
      </c>
      <c r="V43" s="73"/>
      <c r="W43" s="70">
        <f>'DITEP-SENONCHES'!C43</f>
        <v>45566</v>
      </c>
      <c r="X43" s="70">
        <f>'DITEP-MORANCEZ'!C43</f>
        <v>45566</v>
      </c>
      <c r="Y43" s="79"/>
      <c r="Z43" s="70">
        <f>'PISP-DDAISP-ESATHM'!C43</f>
        <v>45139</v>
      </c>
      <c r="AA43" s="70" t="str">
        <f>'PIPSP habitat inclusif'!C43</f>
        <v>X  Pas d'obligation</v>
      </c>
      <c r="AB43" s="70" t="s">
        <v>26</v>
      </c>
    </row>
    <row r="44" spans="1:28" x14ac:dyDescent="0.3">
      <c r="A44" s="16" t="s">
        <v>70</v>
      </c>
      <c r="B44" s="17" t="s">
        <v>69</v>
      </c>
      <c r="C44" s="70">
        <f>CDLA!C44</f>
        <v>0</v>
      </c>
      <c r="D44" s="52"/>
      <c r="E44" s="70">
        <f>'DAME-AF-SEES'!C44</f>
        <v>1</v>
      </c>
      <c r="F44" s="70">
        <f>'DAME-AF-SIPFP'!C44</f>
        <v>0</v>
      </c>
      <c r="G44" s="70">
        <f>'DAME-AF+GEM-Clémenceau'!C44</f>
        <v>0</v>
      </c>
      <c r="H44" s="70">
        <f>'DAME-AF-Internat'!C44</f>
        <v>0</v>
      </c>
      <c r="I44" s="73"/>
      <c r="J44" s="70">
        <f>'DAME-BD'!C44</f>
        <v>45120</v>
      </c>
      <c r="K44" s="74"/>
      <c r="L44" s="70">
        <f>'DES-AB-NLR'!C44</f>
        <v>45261</v>
      </c>
      <c r="M44" s="70">
        <f>'DES-AB-Internat'!C44</f>
        <v>45261</v>
      </c>
      <c r="N44" s="70">
        <f>'DES-AB-CHARTRES'!C44</f>
        <v>45536</v>
      </c>
      <c r="O44" s="70">
        <f>'DES-AB-VERNOUILLET'!C44</f>
        <v>45536</v>
      </c>
      <c r="P44" s="70">
        <f>'DES-AB-2SAI'!C44</f>
        <v>45536</v>
      </c>
      <c r="Q44" s="75"/>
      <c r="R44" s="70">
        <f>'CMPP-DREUX'!C44</f>
        <v>45474</v>
      </c>
      <c r="S44" s="74"/>
      <c r="T44" s="70">
        <f>'CMPP-CHARTRES'!C44</f>
        <v>45828</v>
      </c>
      <c r="U44" s="70">
        <f>'CMPP-CHATEAUDUN'!C44</f>
        <v>45467</v>
      </c>
      <c r="V44" s="73"/>
      <c r="W44" s="70">
        <f>'DITEP-SENONCHES'!C44</f>
        <v>45566</v>
      </c>
      <c r="X44" s="70">
        <f>'DITEP-MORANCEZ'!C44</f>
        <v>45566</v>
      </c>
      <c r="Y44" s="79"/>
      <c r="Z44" s="70">
        <f>'PISP-DDAISP-ESATHM'!C44</f>
        <v>0</v>
      </c>
      <c r="AA44" s="70" t="str">
        <f>'PIPSP habitat inclusif'!C44</f>
        <v>X  Pas d'obligation</v>
      </c>
      <c r="AB44" s="70" t="s">
        <v>26</v>
      </c>
    </row>
    <row r="45" spans="1:28" ht="15" thickBot="1" x14ac:dyDescent="0.35">
      <c r="A45" s="16" t="s">
        <v>71</v>
      </c>
      <c r="B45" s="17" t="s">
        <v>72</v>
      </c>
      <c r="C45" s="70">
        <f>CDLA!C45</f>
        <v>0</v>
      </c>
      <c r="D45" s="52"/>
      <c r="E45" s="70">
        <f>'DAME-AF-SEES'!C45</f>
        <v>0</v>
      </c>
      <c r="F45" s="70">
        <f>'DAME-AF-SIPFP'!C45</f>
        <v>0</v>
      </c>
      <c r="G45" s="70">
        <f>'DAME-AF+GEM-Clémenceau'!C45</f>
        <v>0</v>
      </c>
      <c r="H45" s="70">
        <f>'DAME-AF-Internat'!C45</f>
        <v>0</v>
      </c>
      <c r="I45" s="73"/>
      <c r="J45" s="70">
        <f>'DAME-BD'!C45</f>
        <v>0</v>
      </c>
      <c r="K45" s="74"/>
      <c r="L45" s="70">
        <f>'DES-AB-NLR'!C45</f>
        <v>0</v>
      </c>
      <c r="M45" s="70">
        <f>'DES-AB-Internat'!C45</f>
        <v>1</v>
      </c>
      <c r="N45" s="70">
        <f>'DES-AB-CHARTRES'!C45</f>
        <v>0</v>
      </c>
      <c r="O45" s="70">
        <f>'DES-AB-VERNOUILLET'!C45</f>
        <v>0</v>
      </c>
      <c r="P45" s="70">
        <f>'DES-AB-2SAI'!C45</f>
        <v>0</v>
      </c>
      <c r="Q45" s="75"/>
      <c r="R45" s="70">
        <f>'CMPP-DREUX'!C45</f>
        <v>0</v>
      </c>
      <c r="S45" s="74"/>
      <c r="T45" s="70">
        <f>'CMPP-CHARTRES'!C45</f>
        <v>0</v>
      </c>
      <c r="U45" s="70">
        <f>'CMPP-CHATEAUDUN'!C45</f>
        <v>0</v>
      </c>
      <c r="V45" s="73"/>
      <c r="W45" s="70">
        <f>'DITEP-SENONCHES'!C45</f>
        <v>44805</v>
      </c>
      <c r="X45" s="70">
        <f>'DITEP-MORANCEZ'!C45</f>
        <v>0</v>
      </c>
      <c r="Y45" s="79"/>
      <c r="Z45" s="70">
        <f>'PISP-DDAISP-ESATHM'!C45</f>
        <v>0</v>
      </c>
      <c r="AA45" s="70" t="str">
        <f>'PIPSP habitat inclusif'!C45</f>
        <v>X  Pas d'obligation</v>
      </c>
      <c r="AB45" s="70" t="s">
        <v>26</v>
      </c>
    </row>
    <row r="46" spans="1:28" ht="15" thickBot="1" x14ac:dyDescent="0.35">
      <c r="A46" s="3" t="s">
        <v>71</v>
      </c>
      <c r="B46" s="11" t="s">
        <v>73</v>
      </c>
      <c r="C46" s="38">
        <f>CDLA!C46</f>
        <v>0</v>
      </c>
      <c r="D46" s="53"/>
      <c r="E46" s="38">
        <f>'DAME-AF-SEES'!C46</f>
        <v>0</v>
      </c>
      <c r="F46" s="38">
        <f>'DAME-AF-SIPFP'!C46</f>
        <v>0</v>
      </c>
      <c r="G46" s="38">
        <f>'DAME-AF+GEM-Clémenceau'!C46</f>
        <v>0</v>
      </c>
      <c r="H46" s="38">
        <f>'DAME-AF-Internat'!C46</f>
        <v>0</v>
      </c>
      <c r="I46" s="81"/>
      <c r="J46" s="38">
        <f>'DAME-BD'!C46</f>
        <v>0</v>
      </c>
      <c r="K46" s="82"/>
      <c r="L46" s="38">
        <f>'DES-AB-NLR'!C46</f>
        <v>0</v>
      </c>
      <c r="M46" s="38">
        <f>'DES-AB-Internat'!C46</f>
        <v>1</v>
      </c>
      <c r="N46" s="38">
        <f>'DES-AB-CHARTRES'!C46</f>
        <v>0</v>
      </c>
      <c r="O46" s="38">
        <f>'DES-AB-VERNOUILLET'!C46</f>
        <v>0</v>
      </c>
      <c r="P46" s="38">
        <f>'DES-AB-2SAI'!C46</f>
        <v>0</v>
      </c>
      <c r="Q46" s="83"/>
      <c r="R46" s="38">
        <f>'CMPP-DREUX'!C46</f>
        <v>0</v>
      </c>
      <c r="S46" s="82"/>
      <c r="T46" s="38">
        <f>'CMPP-CHARTRES'!C46</f>
        <v>0</v>
      </c>
      <c r="U46" s="38">
        <f>'CMPP-CHATEAUDUN'!C46</f>
        <v>0</v>
      </c>
      <c r="V46" s="81"/>
      <c r="W46" s="38">
        <f>'DITEP-SENONCHES'!C46</f>
        <v>44805</v>
      </c>
      <c r="X46" s="38">
        <f>'DITEP-MORANCEZ'!C46</f>
        <v>45533</v>
      </c>
      <c r="Y46" s="84"/>
      <c r="Z46" s="76">
        <f>'PISP-DDAISP-ESATHM'!C46</f>
        <v>0</v>
      </c>
      <c r="AA46" s="38" t="str">
        <f>'PIPSP habitat inclusif'!C46</f>
        <v>X  Pas d'obligation</v>
      </c>
      <c r="AB46" s="38" t="s">
        <v>26</v>
      </c>
    </row>
    <row r="47" spans="1:28" x14ac:dyDescent="0.3">
      <c r="A47" s="27" t="s">
        <v>74</v>
      </c>
    </row>
    <row r="48" spans="1:28" x14ac:dyDescent="0.3">
      <c r="A48" s="48" t="s">
        <v>75</v>
      </c>
    </row>
    <row r="49" spans="1:1" x14ac:dyDescent="0.3">
      <c r="A49" s="8" t="s">
        <v>76</v>
      </c>
    </row>
    <row r="50" spans="1:1" x14ac:dyDescent="0.3">
      <c r="A50" s="51" t="s">
        <v>77</v>
      </c>
    </row>
    <row r="51" spans="1:1" x14ac:dyDescent="0.3">
      <c r="A51" s="1" t="s">
        <v>78</v>
      </c>
    </row>
  </sheetData>
  <sheetProtection algorithmName="SHA-512" hashValue="7INi9MzE+edRBXPe829XLSVze64sZNEVr4qzi1T/eFAX2pg1XAa0JXJZ8WseELsSb1elR0xfW363+MT4OQrqxQ==" saltValue="UbBSTMfGoDvyaRJP96q/iQ==" spinCount="100000" sheet="1" objects="1" scenarios="1"/>
  <mergeCells count="10">
    <mergeCell ref="A10:A11"/>
    <mergeCell ref="A15:A16"/>
    <mergeCell ref="A18:A19"/>
    <mergeCell ref="A27:A28"/>
    <mergeCell ref="A1:B2"/>
    <mergeCell ref="E1:H1"/>
    <mergeCell ref="L1:P1"/>
    <mergeCell ref="W1:X1"/>
    <mergeCell ref="Z1:AB1"/>
    <mergeCell ref="A8:A9"/>
  </mergeCells>
  <conditionalFormatting sqref="C31">
    <cfRule type="expression" dxfId="374" priority="155">
      <formula>TODAY()-C31&lt;=669</formula>
    </cfRule>
    <cfRule type="expression" dxfId="373" priority="156">
      <formula>AND(TODAY()-C31&gt;369, TODAY()-C31&lt;=730)</formula>
    </cfRule>
    <cfRule type="expression" dxfId="372" priority="157">
      <formula>TODAY()-C31&gt;730</formula>
    </cfRule>
  </conditionalFormatting>
  <conditionalFormatting sqref="C46">
    <cfRule type="expression" dxfId="371" priority="188">
      <formula>TODAY()-C46&gt;1095</formula>
    </cfRule>
    <cfRule type="expression" dxfId="370" priority="191">
      <formula>AND(TODAY()-C46&gt;1035, TODAY()-C46&lt;=1095)</formula>
    </cfRule>
    <cfRule type="expression" dxfId="369" priority="194">
      <formula>TODAY()-C46&lt;=1035</formula>
    </cfRule>
  </conditionalFormatting>
  <conditionalFormatting sqref="C3:AB4 C34:AB34 C36:AB36">
    <cfRule type="expression" dxfId="368" priority="163">
      <formula>AND(TODAY()-C3&gt;1035, TODAY()-C3&lt;=1095)</formula>
    </cfRule>
    <cfRule type="expression" dxfId="367" priority="166">
      <formula>TODAY()-C3&lt;=1035</formula>
    </cfRule>
  </conditionalFormatting>
  <conditionalFormatting sqref="C3:AB46">
    <cfRule type="containsText" priority="186" operator="containsText" text="X">
      <formula>NOT(ISERROR(SEARCH("X",C3)))</formula>
    </cfRule>
  </conditionalFormatting>
  <conditionalFormatting sqref="C17:AB17">
    <cfRule type="expression" dxfId="366" priority="159">
      <formula>TODAY()-C17&gt;1825</formula>
    </cfRule>
    <cfRule type="expression" dxfId="365" priority="162">
      <formula>AND(TODAY()-C17&gt;1765, TODAY()-C17&lt;=1825)</formula>
    </cfRule>
    <cfRule type="expression" dxfId="364" priority="165">
      <formula>TODAY()-C17&lt;=1765</formula>
    </cfRule>
  </conditionalFormatting>
  <conditionalFormatting sqref="C34:AB34 C3:AB4 C36:AB36">
    <cfRule type="expression" dxfId="363" priority="160">
      <formula>TODAY()-C3&gt;1095</formula>
    </cfRule>
  </conditionalFormatting>
  <conditionalFormatting sqref="C35:AB35">
    <cfRule type="containsBlanks" dxfId="362" priority="35">
      <formula>LEN(TRIM(C35))=0</formula>
    </cfRule>
    <cfRule type="notContainsBlanks" dxfId="361" priority="196">
      <formula>LEN(TRIM(C35))&gt;0</formula>
    </cfRule>
  </conditionalFormatting>
  <conditionalFormatting sqref="E17:H17">
    <cfRule type="expression" dxfId="359" priority="142">
      <formula>TODAY()-E17&gt;1825</formula>
    </cfRule>
    <cfRule type="expression" dxfId="358" priority="145">
      <formula>AND(TODAY()-E17&gt;1765, TODAY()-E17&lt;=1825)</formula>
    </cfRule>
    <cfRule type="expression" dxfId="357" priority="148">
      <formula>TODAY()-E17&lt;=1765</formula>
    </cfRule>
  </conditionalFormatting>
  <conditionalFormatting sqref="E31:H31">
    <cfRule type="expression" dxfId="356" priority="140">
      <formula>TODAY()-E31&gt;730</formula>
    </cfRule>
    <cfRule type="expression" dxfId="355" priority="138">
      <formula>TODAY()-E31&lt;=669</formula>
    </cfRule>
    <cfRule type="expression" dxfId="354" priority="139">
      <formula>AND(TODAY()-E31&gt;369, TODAY()-E31&lt;=730)</formula>
    </cfRule>
  </conditionalFormatting>
  <conditionalFormatting sqref="E46:H46">
    <cfRule type="expression" dxfId="353" priority="154">
      <formula>TODAY()-E46&lt;=1035</formula>
    </cfRule>
    <cfRule type="expression" dxfId="352" priority="153">
      <formula>AND(TODAY()-E46&gt;1035, TODAY()-E46&lt;=1095)</formula>
    </cfRule>
    <cfRule type="expression" dxfId="351" priority="152">
      <formula>TODAY()-E46&gt;1095</formula>
    </cfRule>
  </conditionalFormatting>
  <conditionalFormatting sqref="H5:H13 C5:G16 H15:H16 C18:H30 C32:H33 C37:H46">
    <cfRule type="expression" dxfId="347" priority="150">
      <formula>TODAY()-C5&lt;=304</formula>
    </cfRule>
    <cfRule type="expression" dxfId="346" priority="144">
      <formula>TODAY()-C5&gt;365</formula>
    </cfRule>
    <cfRule type="expression" dxfId="345" priority="147">
      <formula>AND(TODAY()-C5&gt;304, TODAY()-C5&lt;=365)</formula>
    </cfRule>
  </conditionalFormatting>
  <conditionalFormatting sqref="H14 M14 W14:X14">
    <cfRule type="expression" dxfId="344" priority="167">
      <formula>TODAY()-H14&lt;=30</formula>
    </cfRule>
    <cfRule type="expression" dxfId="343" priority="161">
      <formula>TODAY()-H14&gt;31</formula>
    </cfRule>
  </conditionalFormatting>
  <conditionalFormatting sqref="J5:J16 J18:J30 J32:J33 J37:J46">
    <cfRule type="expression" dxfId="341" priority="127">
      <formula>TODAY()-J5&gt;365</formula>
    </cfRule>
    <cfRule type="expression" dxfId="340" priority="130">
      <formula>AND(TODAY()-J5&gt;304, TODAY()-J5&lt;=365)</formula>
    </cfRule>
    <cfRule type="expression" dxfId="339" priority="133">
      <formula>TODAY()-J5&lt;=304</formula>
    </cfRule>
  </conditionalFormatting>
  <conditionalFormatting sqref="J17">
    <cfRule type="expression" dxfId="338" priority="128">
      <formula>AND(TODAY()-J17&gt;1765, TODAY()-J17&lt;=1825)</formula>
    </cfRule>
    <cfRule type="expression" dxfId="337" priority="131">
      <formula>TODAY()-J17&lt;=1765</formula>
    </cfRule>
    <cfRule type="expression" dxfId="336" priority="125">
      <formula>TODAY()-J17&gt;1825</formula>
    </cfRule>
  </conditionalFormatting>
  <conditionalFormatting sqref="J31">
    <cfRule type="expression" dxfId="335" priority="121">
      <formula>TODAY()-J31&lt;=669</formula>
    </cfRule>
    <cfRule type="expression" dxfId="334" priority="122">
      <formula>AND(TODAY()-J31&gt;369, TODAY()-J31&lt;=730)</formula>
    </cfRule>
    <cfRule type="expression" dxfId="333" priority="123">
      <formula>TODAY()-J31&gt;730</formula>
    </cfRule>
  </conditionalFormatting>
  <conditionalFormatting sqref="J46">
    <cfRule type="expression" dxfId="332" priority="135">
      <formula>TODAY()-J46&gt;1095</formula>
    </cfRule>
    <cfRule type="expression" dxfId="331" priority="136">
      <formula>AND(TODAY()-J46&gt;1035, TODAY()-J46&lt;=1095)</formula>
    </cfRule>
    <cfRule type="expression" dxfId="330" priority="137">
      <formula>TODAY()-J46&lt;=1035</formula>
    </cfRule>
  </conditionalFormatting>
  <conditionalFormatting sqref="L17:P17">
    <cfRule type="expression" dxfId="328" priority="111">
      <formula>AND(TODAY()-L17&gt;1765, TODAY()-L17&lt;=1825)</formula>
    </cfRule>
    <cfRule type="expression" dxfId="327" priority="108">
      <formula>TODAY()-L17&gt;1825</formula>
    </cfRule>
    <cfRule type="expression" dxfId="326" priority="114">
      <formula>TODAY()-L17&lt;=1765</formula>
    </cfRule>
  </conditionalFormatting>
  <conditionalFormatting sqref="L31:P31">
    <cfRule type="expression" dxfId="325" priority="106">
      <formula>TODAY()-L31&gt;730</formula>
    </cfRule>
    <cfRule type="expression" dxfId="324" priority="105">
      <formula>AND(TODAY()-L31&gt;369, TODAY()-L31&lt;=730)</formula>
    </cfRule>
    <cfRule type="expression" dxfId="323" priority="104">
      <formula>TODAY()-L31&lt;=669</formula>
    </cfRule>
  </conditionalFormatting>
  <conditionalFormatting sqref="L46:P46">
    <cfRule type="expression" dxfId="322" priority="120">
      <formula>TODAY()-L46&lt;=1035</formula>
    </cfRule>
    <cfRule type="expression" dxfId="321" priority="119">
      <formula>AND(TODAY()-L46&gt;1035, TODAY()-L46&lt;=1095)</formula>
    </cfRule>
    <cfRule type="expression" dxfId="320" priority="118">
      <formula>TODAY()-L46&gt;1095</formula>
    </cfRule>
  </conditionalFormatting>
  <conditionalFormatting sqref="M5:M13 L5:L16 N5:P16 M15:M16 L18:L30 N18:P30 M18:M33 L32:L33 N32:P33 O34 L37:P46">
    <cfRule type="expression" dxfId="318" priority="116">
      <formula>TODAY()-L5&lt;=304</formula>
    </cfRule>
    <cfRule type="expression" dxfId="317" priority="113">
      <formula>AND(TODAY()-L5&gt;304, TODAY()-L5&lt;=365)</formula>
    </cfRule>
  </conditionalFormatting>
  <conditionalFormatting sqref="M18:M33 M5:M13 L5:L16 N5:P16 M15:M16 L18:L30 N18:P30 L32:L33 N32:P33 O34 L37:P46">
    <cfRule type="expression" dxfId="316" priority="110">
      <formula>TODAY()-L5&gt;365</formula>
    </cfRule>
  </conditionalFormatting>
  <conditionalFormatting sqref="R5:R16 R18:R30 R32:R33 R37:R46">
    <cfRule type="expression" dxfId="311" priority="93">
      <formula>TODAY()-R5&gt;365</formula>
    </cfRule>
    <cfRule type="expression" dxfId="310" priority="96">
      <formula>AND(TODAY()-R5&gt;304, TODAY()-R5&lt;=365)</formula>
    </cfRule>
    <cfRule type="expression" dxfId="309" priority="99">
      <formula>TODAY()-R5&lt;=304</formula>
    </cfRule>
  </conditionalFormatting>
  <conditionalFormatting sqref="R17">
    <cfRule type="expression" dxfId="308" priority="91">
      <formula>TODAY()-R17&gt;1825</formula>
    </cfRule>
    <cfRule type="expression" dxfId="307" priority="97">
      <formula>TODAY()-R17&lt;=1765</formula>
    </cfRule>
    <cfRule type="expression" dxfId="306" priority="94">
      <formula>AND(TODAY()-R17&gt;1765, TODAY()-R17&lt;=1825)</formula>
    </cfRule>
  </conditionalFormatting>
  <conditionalFormatting sqref="R31">
    <cfRule type="expression" dxfId="305" priority="87">
      <formula>TODAY()-R31&lt;=669</formula>
    </cfRule>
    <cfRule type="expression" dxfId="304" priority="89">
      <formula>TODAY()-R31&gt;730</formula>
    </cfRule>
    <cfRule type="expression" dxfId="303" priority="88">
      <formula>AND(TODAY()-R31&gt;369, TODAY()-R31&lt;=730)</formula>
    </cfRule>
  </conditionalFormatting>
  <conditionalFormatting sqref="R46">
    <cfRule type="expression" dxfId="302" priority="103">
      <formula>TODAY()-R46&lt;=1035</formula>
    </cfRule>
    <cfRule type="expression" dxfId="301" priority="101">
      <formula>TODAY()-R46&gt;1095</formula>
    </cfRule>
    <cfRule type="expression" dxfId="300" priority="102">
      <formula>AND(TODAY()-R46&gt;1035, TODAY()-R46&lt;=1095)</formula>
    </cfRule>
  </conditionalFormatting>
  <conditionalFormatting sqref="T5:U16 T18:U30 T32:U33 T37:U46">
    <cfRule type="expression" dxfId="298" priority="79">
      <formula>AND(TODAY()-T5&gt;304, TODAY()-T5&lt;=365)</formula>
    </cfRule>
    <cfRule type="expression" dxfId="297" priority="76">
      <formula>TODAY()-T5&gt;365</formula>
    </cfRule>
    <cfRule type="expression" dxfId="296" priority="82">
      <formula>TODAY()-T5&lt;=304</formula>
    </cfRule>
  </conditionalFormatting>
  <conditionalFormatting sqref="T17:U17">
    <cfRule type="expression" dxfId="295" priority="77">
      <formula>AND(TODAY()-T17&gt;1765, TODAY()-T17&lt;=1825)</formula>
    </cfRule>
    <cfRule type="expression" dxfId="294" priority="74">
      <formula>TODAY()-T17&gt;1825</formula>
    </cfRule>
    <cfRule type="expression" dxfId="293" priority="80">
      <formula>TODAY()-T17&lt;=1765</formula>
    </cfRule>
  </conditionalFormatting>
  <conditionalFormatting sqref="T31:U31">
    <cfRule type="expression" dxfId="292" priority="71">
      <formula>AND(TODAY()-T31&gt;369, TODAY()-T31&lt;=730)</formula>
    </cfRule>
    <cfRule type="expression" dxfId="291" priority="70">
      <formula>TODAY()-T31&lt;=669</formula>
    </cfRule>
    <cfRule type="expression" dxfId="290" priority="72">
      <formula>TODAY()-T31&gt;730</formula>
    </cfRule>
  </conditionalFormatting>
  <conditionalFormatting sqref="T46:U46">
    <cfRule type="expression" dxfId="289" priority="84">
      <formula>TODAY()-T46&gt;1095</formula>
    </cfRule>
    <cfRule type="expression" dxfId="288" priority="86">
      <formula>TODAY()-T46&lt;=1035</formula>
    </cfRule>
    <cfRule type="expression" dxfId="287" priority="85">
      <formula>AND(TODAY()-T46&gt;1035, TODAY()-T46&lt;=1095)</formula>
    </cfRule>
  </conditionalFormatting>
  <conditionalFormatting sqref="W5:X13 W15:X16 W18:X30 W32:X33 W37:X46">
    <cfRule type="expression" dxfId="284" priority="192">
      <formula>AND(TODAY()-W5&gt;304, TODAY()-W5&lt;=365)</formula>
    </cfRule>
    <cfRule type="expression" dxfId="283" priority="195">
      <formula>TODAY()-W5&lt;=304</formula>
    </cfRule>
  </conditionalFormatting>
  <conditionalFormatting sqref="W17:X17">
    <cfRule type="expression" dxfId="282" priority="60">
      <formula>AND(TODAY()-W17&gt;1765, TODAY()-W17&lt;=1825)</formula>
    </cfRule>
    <cfRule type="expression" dxfId="281" priority="63">
      <formula>TODAY()-W17&lt;=1765</formula>
    </cfRule>
    <cfRule type="expression" dxfId="280" priority="57">
      <formula>TODAY()-W17&gt;1825</formula>
    </cfRule>
  </conditionalFormatting>
  <conditionalFormatting sqref="W31:X31">
    <cfRule type="expression" dxfId="279" priority="55">
      <formula>TODAY()-W31&gt;730</formula>
    </cfRule>
    <cfRule type="expression" dxfId="278" priority="54">
      <formula>AND(TODAY()-W31&gt;369, TODAY()-W31&lt;=730)</formula>
    </cfRule>
    <cfRule type="expression" dxfId="277" priority="53">
      <formula>TODAY()-W31&lt;=669</formula>
    </cfRule>
  </conditionalFormatting>
  <conditionalFormatting sqref="W37:X46 W5:X13 W15:X16 W18:X30 W32:X33">
    <cfRule type="expression" dxfId="276" priority="189">
      <formula>TODAY()-W5&gt;365</formula>
    </cfRule>
  </conditionalFormatting>
  <conditionalFormatting sqref="W46:X46">
    <cfRule type="expression" dxfId="275" priority="67">
      <formula>TODAY()-W46&gt;1095</formula>
    </cfRule>
    <cfRule type="expression" dxfId="274" priority="69">
      <formula>TODAY()-W46&lt;=1035</formula>
    </cfRule>
    <cfRule type="expression" dxfId="273" priority="68">
      <formula>AND(TODAY()-W46&gt;1035, TODAY()-W46&lt;=1095)</formula>
    </cfRule>
  </conditionalFormatting>
  <conditionalFormatting sqref="Z5:AB16 Z18:AB30 Z32:AB33 Z37:AB46">
    <cfRule type="expression" dxfId="270" priority="48">
      <formula>TODAY()-Z5&lt;=304</formula>
    </cfRule>
    <cfRule type="expression" dxfId="269" priority="45">
      <formula>AND(TODAY()-Z5&gt;304, TODAY()-Z5&lt;=365)</formula>
    </cfRule>
    <cfRule type="expression" dxfId="268" priority="42">
      <formula>TODAY()-Z5&gt;365</formula>
    </cfRule>
  </conditionalFormatting>
  <conditionalFormatting sqref="Z17:AB17">
    <cfRule type="expression" dxfId="267" priority="46">
      <formula>TODAY()-Z17&lt;=1765</formula>
    </cfRule>
    <cfRule type="expression" dxfId="266" priority="43">
      <formula>AND(TODAY()-Z17&gt;1765, TODAY()-Z17&lt;=1825)</formula>
    </cfRule>
    <cfRule type="expression" dxfId="265" priority="40">
      <formula>TODAY()-Z17&gt;1825</formula>
    </cfRule>
  </conditionalFormatting>
  <conditionalFormatting sqref="Z31:AB31">
    <cfRule type="expression" dxfId="264" priority="38">
      <formula>TODAY()-Z31&gt;730</formula>
    </cfRule>
    <cfRule type="expression" dxfId="263" priority="37">
      <formula>AND(TODAY()-Z31&gt;369, TODAY()-Z31&lt;=730)</formula>
    </cfRule>
    <cfRule type="expression" dxfId="262" priority="36">
      <formula>TODAY()-Z31&lt;=669</formula>
    </cfRule>
  </conditionalFormatting>
  <conditionalFormatting sqref="Z46:AB46">
    <cfRule type="expression" dxfId="261" priority="52">
      <formula>TODAY()-Z46&lt;=1035</formula>
    </cfRule>
    <cfRule type="expression" dxfId="260" priority="51">
      <formula>AND(TODAY()-Z46&gt;1035, TODAY()-Z46&lt;=1095)</formula>
    </cfRule>
    <cfRule type="expression" dxfId="259" priority="50">
      <formula>TODAY()-Z46&gt;1095</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66" id="{056476A0-1AA7-42AF-9103-003BEE73BF13}">
            <xm:f>AND(C3&lt;&gt;"",INDEX(CDLA!D:D,ROW(C3))&lt;&gt;"")</xm:f>
            <x14:dxf>
              <font>
                <color theme="8" tint="0.39994506668294322"/>
              </font>
            </x14:dxf>
          </x14:cfRule>
          <xm:sqref>C3:C46</xm:sqref>
        </x14:conditionalFormatting>
        <x14:conditionalFormatting xmlns:xm="http://schemas.microsoft.com/office/excel/2006/main">
          <x14:cfRule type="expression" priority="184" id="{8BBAE770-DB11-4837-9D00-FE8DA8C1D832}">
            <xm:f>AND(E3&lt;&gt;"",INDEX('DAME-AF-SEES'!D:D,ROW(E3))&lt;&gt;"")</xm:f>
            <x14:dxf>
              <font>
                <color theme="8" tint="0.39994506668294322"/>
              </font>
            </x14:dxf>
          </x14:cfRule>
          <xm:sqref>E3:E46</xm:sqref>
        </x14:conditionalFormatting>
        <x14:conditionalFormatting xmlns:xm="http://schemas.microsoft.com/office/excel/2006/main">
          <x14:cfRule type="expression" priority="183" id="{90437D8B-75A5-49AA-AC58-D8028951E51C}">
            <xm:f>AND(F3&lt;&gt;"",INDEX('DAME-AF-SIPFP'!D:D,ROW(F3))&lt;&gt;"")</xm:f>
            <x14:dxf>
              <font>
                <color theme="8" tint="0.39994506668294322"/>
              </font>
            </x14:dxf>
          </x14:cfRule>
          <xm:sqref>F3:F46</xm:sqref>
        </x14:conditionalFormatting>
        <x14:conditionalFormatting xmlns:xm="http://schemas.microsoft.com/office/excel/2006/main">
          <x14:cfRule type="expression" priority="182" id="{12FA4FF1-E054-4C48-A510-F2613259018E}">
            <xm:f>AND(G3&lt;&gt;"",INDEX('DAME-AF+GEM-Clémenceau'!D:D,ROW(G3))&lt;&gt;"")</xm:f>
            <x14:dxf>
              <font>
                <color theme="8" tint="0.39994506668294322"/>
              </font>
            </x14:dxf>
          </x14:cfRule>
          <xm:sqref>G3:G46</xm:sqref>
        </x14:conditionalFormatting>
        <x14:conditionalFormatting xmlns:xm="http://schemas.microsoft.com/office/excel/2006/main">
          <x14:cfRule type="expression" priority="181" id="{16CCF8CE-9315-4159-B8D0-343B27EA865C}">
            <xm:f>AND(H3&lt;&gt;"",INDEX('DAME-AF-Internat'!D:D,ROW(H3))&lt;&gt;"")</xm:f>
            <x14:dxf>
              <font>
                <color theme="8" tint="0.39994506668294322"/>
              </font>
            </x14:dxf>
          </x14:cfRule>
          <xm:sqref>H3:H46</xm:sqref>
        </x14:conditionalFormatting>
        <x14:conditionalFormatting xmlns:xm="http://schemas.microsoft.com/office/excel/2006/main">
          <x14:cfRule type="expression" priority="180" id="{1359F872-12E9-444A-867B-6A06EACB86F3}">
            <xm:f>AND(J3&lt;&gt;"",INDEX('DAME-BD'!D:D,ROW(J3))&lt;&gt;"")</xm:f>
            <x14:dxf>
              <font>
                <color theme="8" tint="0.39994506668294322"/>
              </font>
            </x14:dxf>
          </x14:cfRule>
          <xm:sqref>J3:J46</xm:sqref>
        </x14:conditionalFormatting>
        <x14:conditionalFormatting xmlns:xm="http://schemas.microsoft.com/office/excel/2006/main">
          <x14:cfRule type="expression" priority="179" id="{BD361A8D-44B1-4D12-B6C3-4D7482A0A233}">
            <xm:f>AND(L3&lt;&gt;"",INDEX('DES-AB-NLR'!D:D,ROW(L3))&lt;&gt;"")</xm:f>
            <x14:dxf>
              <font>
                <color theme="8" tint="0.39994506668294322"/>
              </font>
            </x14:dxf>
          </x14:cfRule>
          <xm:sqref>L3:L46</xm:sqref>
        </x14:conditionalFormatting>
        <x14:conditionalFormatting xmlns:xm="http://schemas.microsoft.com/office/excel/2006/main">
          <x14:cfRule type="expression" priority="178" id="{27B04EE8-8C5B-4360-9E0B-2E184CE73C06}">
            <xm:f>AND(M3&lt;&gt;"",INDEX('DES-AB-Internat'!D:D,ROW(M3))&lt;&gt;"")</xm:f>
            <x14:dxf>
              <font>
                <color theme="8" tint="0.39994506668294322"/>
              </font>
            </x14:dxf>
          </x14:cfRule>
          <xm:sqref>M3:M46</xm:sqref>
        </x14:conditionalFormatting>
        <x14:conditionalFormatting xmlns:xm="http://schemas.microsoft.com/office/excel/2006/main">
          <x14:cfRule type="expression" priority="177" id="{CAFDAD7D-1156-4BCC-8436-1FB619555228}">
            <xm:f>AND(N3&lt;&gt;"",INDEX('DES-AB-CHARTRES'!D:D,ROW(N3))&lt;&gt;"")</xm:f>
            <x14:dxf>
              <font>
                <color theme="8" tint="0.39994506668294322"/>
              </font>
            </x14:dxf>
          </x14:cfRule>
          <xm:sqref>N3:N46</xm:sqref>
        </x14:conditionalFormatting>
        <x14:conditionalFormatting xmlns:xm="http://schemas.microsoft.com/office/excel/2006/main">
          <x14:cfRule type="expression" priority="176" id="{CF930AEC-4101-4A69-94E7-2739020039FE}">
            <xm:f>AND(O3&lt;&gt;"",INDEX('DES-AB-VERNOUILLET'!D:D,ROW(O3))&lt;&gt;"")</xm:f>
            <x14:dxf>
              <font>
                <color theme="8" tint="0.39994506668294322"/>
              </font>
            </x14:dxf>
          </x14:cfRule>
          <xm:sqref>O3:O46</xm:sqref>
        </x14:conditionalFormatting>
        <x14:conditionalFormatting xmlns:xm="http://schemas.microsoft.com/office/excel/2006/main">
          <x14:cfRule type="expression" priority="175" id="{73EE3D62-11BA-4F11-9B62-31FA436690B4}">
            <xm:f>AND(P3&lt;&gt;"",INDEX('DES-AB-2SAI'!D:D,ROW(P3))&lt;&gt;"")</xm:f>
            <x14:dxf>
              <font>
                <color theme="8" tint="0.39994506668294322"/>
              </font>
            </x14:dxf>
          </x14:cfRule>
          <xm:sqref>P3:P46</xm:sqref>
        </x14:conditionalFormatting>
        <x14:conditionalFormatting xmlns:xm="http://schemas.microsoft.com/office/excel/2006/main">
          <x14:cfRule type="expression" priority="174" id="{A48B7D5D-B2B1-4379-96AA-93D6175BBA20}">
            <xm:f>AND(R3&lt;&gt;"",INDEX('CMPP-DREUX'!D:D,ROW(R3))&lt;&gt;"")</xm:f>
            <x14:dxf>
              <font>
                <color theme="8" tint="0.39994506668294322"/>
              </font>
            </x14:dxf>
          </x14:cfRule>
          <xm:sqref>R3:R46</xm:sqref>
        </x14:conditionalFormatting>
        <x14:conditionalFormatting xmlns:xm="http://schemas.microsoft.com/office/excel/2006/main">
          <x14:cfRule type="expression" priority="173" id="{987E88C8-6EEB-44D4-B097-90F3D377F581}">
            <xm:f>AND(T3&lt;&gt;"",INDEX('CMPP-CHARTRES'!D:D,ROW(T3))&lt;&gt;"")</xm:f>
            <x14:dxf>
              <font>
                <color theme="8" tint="0.39994506668294322"/>
              </font>
            </x14:dxf>
          </x14:cfRule>
          <xm:sqref>T3:T46</xm:sqref>
        </x14:conditionalFormatting>
        <x14:conditionalFormatting xmlns:xm="http://schemas.microsoft.com/office/excel/2006/main">
          <x14:cfRule type="expression" priority="172" id="{37934EB5-EDF4-4762-BB44-A55A9D5E2CFB}">
            <xm:f>AND(U3&lt;&gt;"",INDEX('CMPP-CHATEAUDUN'!D:D,ROW(U3))&lt;&gt;"")</xm:f>
            <x14:dxf>
              <font>
                <color theme="8" tint="0.39994506668294322"/>
              </font>
            </x14:dxf>
          </x14:cfRule>
          <xm:sqref>U3:U46</xm:sqref>
        </x14:conditionalFormatting>
        <x14:conditionalFormatting xmlns:xm="http://schemas.microsoft.com/office/excel/2006/main">
          <x14:cfRule type="expression" priority="171" id="{E41B83C5-C417-40E6-B3CA-0C648B764235}">
            <xm:f>AND(W3&lt;&gt;"",INDEX('DITEP-SENONCHES'!D:D,ROW(W3))&lt;&gt;"")</xm:f>
            <x14:dxf>
              <font>
                <color theme="8" tint="0.39994506668294322"/>
              </font>
            </x14:dxf>
          </x14:cfRule>
          <xm:sqref>W3:W46</xm:sqref>
        </x14:conditionalFormatting>
        <x14:conditionalFormatting xmlns:xm="http://schemas.microsoft.com/office/excel/2006/main">
          <x14:cfRule type="expression" priority="170" id="{DA62E0D9-6E0D-43E6-96D1-772D62927B76}">
            <xm:f>AND(X3&lt;&gt;"",INDEX('DITEP-MORANCEZ'!D:D,ROW(X3))&lt;&gt;"")</xm:f>
            <x14:dxf>
              <font>
                <color theme="8" tint="0.39994506668294322"/>
              </font>
            </x14:dxf>
          </x14:cfRule>
          <xm:sqref>X3:X46</xm:sqref>
        </x14:conditionalFormatting>
        <x14:conditionalFormatting xmlns:xm="http://schemas.microsoft.com/office/excel/2006/main">
          <x14:cfRule type="expression" priority="169" id="{2EA10C07-43F8-4800-A696-5BA91E96F25D}">
            <xm:f>AND(Z3&lt;&gt;"",INDEX('PISP-DDAISP-ESATHM'!D:D,ROW(Z3))&lt;&gt;"")</xm:f>
            <x14:dxf>
              <font>
                <color theme="8" tint="0.39994506668294322"/>
              </font>
            </x14:dxf>
          </x14:cfRule>
          <xm:sqref>Z3:Z46</xm:sqref>
        </x14:conditionalFormatting>
        <x14:conditionalFormatting xmlns:xm="http://schemas.microsoft.com/office/excel/2006/main">
          <x14:cfRule type="expression" priority="168" id="{D8C7AD56-687E-4721-91F3-98C1C74D0744}">
            <xm:f>AND(AA3&lt;&gt;"",INDEX('PIPSP habitat inclusif'!D:D,ROW(AA3))&lt;&gt;"")</xm:f>
            <x14:dxf>
              <font>
                <color theme="8" tint="0.39994506668294322"/>
              </font>
            </x14:dxf>
          </x14:cfRule>
          <xm:sqref>AA3:AA46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081F1-BBB2-4B24-8AB9-A3E0AD14FD32}">
  <dimension ref="A1:E52"/>
  <sheetViews>
    <sheetView topLeftCell="B1" workbookViewId="0">
      <selection activeCell="D3" sqref="D3"/>
    </sheetView>
  </sheetViews>
  <sheetFormatPr baseColWidth="10" defaultColWidth="11.44140625" defaultRowHeight="14.4" x14ac:dyDescent="0.3"/>
  <cols>
    <col min="1" max="1" width="59.109375" bestFit="1" customWidth="1"/>
    <col min="2" max="2" width="23.33203125" bestFit="1" customWidth="1"/>
    <col min="3" max="3" width="21" customWidth="1"/>
    <col min="4" max="4" width="138.33203125" bestFit="1" customWidth="1"/>
    <col min="5" max="5" width="29" bestFit="1" customWidth="1"/>
  </cols>
  <sheetData>
    <row r="1" spans="1:5" ht="14.4" customHeight="1" x14ac:dyDescent="0.3">
      <c r="A1" s="102" t="s">
        <v>0</v>
      </c>
      <c r="B1" s="103"/>
      <c r="C1" s="106" t="s">
        <v>79</v>
      </c>
      <c r="D1" s="129" t="s">
        <v>80</v>
      </c>
      <c r="E1" s="108" t="s">
        <v>81</v>
      </c>
    </row>
    <row r="2" spans="1:5" ht="15" thickBot="1" x14ac:dyDescent="0.35">
      <c r="A2" s="104"/>
      <c r="B2" s="105"/>
      <c r="C2" s="107"/>
      <c r="D2" s="130"/>
      <c r="E2" s="109"/>
    </row>
    <row r="3" spans="1:5" x14ac:dyDescent="0.3">
      <c r="A3" s="2" t="s">
        <v>24</v>
      </c>
      <c r="B3" s="20" t="s">
        <v>25</v>
      </c>
      <c r="C3" s="42" t="s">
        <v>26</v>
      </c>
      <c r="D3" s="60"/>
      <c r="E3" s="86"/>
    </row>
    <row r="4" spans="1:5" x14ac:dyDescent="0.3">
      <c r="A4" s="6" t="s">
        <v>27</v>
      </c>
      <c r="B4" s="7" t="s">
        <v>28</v>
      </c>
      <c r="C4" s="41" t="s">
        <v>26</v>
      </c>
      <c r="D4" s="61"/>
      <c r="E4" s="87"/>
    </row>
    <row r="5" spans="1:5" x14ac:dyDescent="0.3">
      <c r="A5" s="6" t="s">
        <v>29</v>
      </c>
      <c r="B5" s="7" t="s">
        <v>30</v>
      </c>
      <c r="C5" s="41"/>
      <c r="D5" s="62" t="s">
        <v>82</v>
      </c>
      <c r="E5" s="87"/>
    </row>
    <row r="6" spans="1:5" x14ac:dyDescent="0.3">
      <c r="A6" s="6" t="s">
        <v>31</v>
      </c>
      <c r="B6" s="7" t="s">
        <v>30</v>
      </c>
      <c r="C6" s="41">
        <v>45590</v>
      </c>
      <c r="D6" s="62" t="s">
        <v>83</v>
      </c>
      <c r="E6" s="87"/>
    </row>
    <row r="7" spans="1:5" x14ac:dyDescent="0.3">
      <c r="A7" s="6" t="s">
        <v>32</v>
      </c>
      <c r="B7" s="7" t="s">
        <v>30</v>
      </c>
      <c r="C7" s="41" t="s">
        <v>26</v>
      </c>
      <c r="D7" s="62"/>
      <c r="E7" s="87"/>
    </row>
    <row r="8" spans="1:5" x14ac:dyDescent="0.3">
      <c r="A8" s="110" t="s">
        <v>33</v>
      </c>
      <c r="B8" s="7">
        <v>1</v>
      </c>
      <c r="C8" s="41">
        <v>45575</v>
      </c>
      <c r="D8" s="63" t="s">
        <v>84</v>
      </c>
      <c r="E8" s="87"/>
    </row>
    <row r="9" spans="1:5" x14ac:dyDescent="0.3">
      <c r="A9" s="110"/>
      <c r="B9" s="7">
        <v>2</v>
      </c>
      <c r="C9" s="41">
        <v>45744</v>
      </c>
      <c r="D9" s="64" t="s">
        <v>84</v>
      </c>
      <c r="E9" s="87"/>
    </row>
    <row r="10" spans="1:5" x14ac:dyDescent="0.3">
      <c r="A10" s="111" t="s">
        <v>34</v>
      </c>
      <c r="B10" s="7">
        <v>1</v>
      </c>
      <c r="C10" s="41"/>
      <c r="D10" s="63" t="s">
        <v>85</v>
      </c>
      <c r="E10" s="87"/>
    </row>
    <row r="11" spans="1:5" x14ac:dyDescent="0.3">
      <c r="A11" s="112"/>
      <c r="B11" s="7">
        <v>2</v>
      </c>
      <c r="C11" s="41"/>
      <c r="D11" s="64"/>
      <c r="E11" s="87"/>
    </row>
    <row r="12" spans="1:5" x14ac:dyDescent="0.3">
      <c r="A12" s="15" t="s">
        <v>35</v>
      </c>
      <c r="B12" s="7" t="s">
        <v>36</v>
      </c>
      <c r="C12" s="41">
        <v>45444</v>
      </c>
      <c r="D12" s="64" t="s">
        <v>86</v>
      </c>
      <c r="E12" s="87"/>
    </row>
    <row r="13" spans="1:5" x14ac:dyDescent="0.3">
      <c r="A13" s="6" t="s">
        <v>37</v>
      </c>
      <c r="B13" s="7" t="s">
        <v>38</v>
      </c>
      <c r="C13" s="41">
        <v>45301</v>
      </c>
      <c r="D13" s="65" t="s">
        <v>87</v>
      </c>
      <c r="E13" s="87"/>
    </row>
    <row r="14" spans="1:5" x14ac:dyDescent="0.3">
      <c r="A14" s="6" t="s">
        <v>39</v>
      </c>
      <c r="B14" s="7" t="s">
        <v>38</v>
      </c>
      <c r="C14" s="41" t="s">
        <v>26</v>
      </c>
      <c r="D14" s="66"/>
      <c r="E14" s="87"/>
    </row>
    <row r="15" spans="1:5" x14ac:dyDescent="0.3">
      <c r="A15" s="110" t="s">
        <v>40</v>
      </c>
      <c r="B15" s="7" t="s">
        <v>30</v>
      </c>
      <c r="C15" s="41" t="s">
        <v>26</v>
      </c>
      <c r="D15" s="64"/>
      <c r="E15" s="87"/>
    </row>
    <row r="16" spans="1:5" x14ac:dyDescent="0.3">
      <c r="A16" s="110"/>
      <c r="B16" s="7" t="s">
        <v>38</v>
      </c>
      <c r="C16" s="41" t="s">
        <v>26</v>
      </c>
      <c r="D16" s="66"/>
      <c r="E16" s="87"/>
    </row>
    <row r="17" spans="1:5" x14ac:dyDescent="0.3">
      <c r="A17" s="6" t="s">
        <v>41</v>
      </c>
      <c r="B17" s="7" t="s">
        <v>28</v>
      </c>
      <c r="C17" s="41" t="s">
        <v>26</v>
      </c>
      <c r="D17" s="67"/>
      <c r="E17" s="87"/>
    </row>
    <row r="18" spans="1:5" x14ac:dyDescent="0.3">
      <c r="A18" s="110" t="s">
        <v>42</v>
      </c>
      <c r="B18" s="7" t="s">
        <v>30</v>
      </c>
      <c r="C18" s="41" t="s">
        <v>26</v>
      </c>
      <c r="D18" s="64"/>
      <c r="E18" s="87"/>
    </row>
    <row r="19" spans="1:5" x14ac:dyDescent="0.3">
      <c r="A19" s="110"/>
      <c r="B19" s="7" t="s">
        <v>38</v>
      </c>
      <c r="C19" s="41" t="s">
        <v>26</v>
      </c>
      <c r="D19" s="64"/>
      <c r="E19" s="87"/>
    </row>
    <row r="20" spans="1:5" x14ac:dyDescent="0.3">
      <c r="A20" s="6" t="s">
        <v>43</v>
      </c>
      <c r="B20" s="7" t="s">
        <v>38</v>
      </c>
      <c r="C20" s="41" t="s">
        <v>26</v>
      </c>
      <c r="D20" s="61"/>
      <c r="E20" s="87"/>
    </row>
    <row r="21" spans="1:5" x14ac:dyDescent="0.3">
      <c r="A21" s="6" t="s">
        <v>44</v>
      </c>
      <c r="B21" s="7" t="s">
        <v>30</v>
      </c>
      <c r="C21" s="41" t="s">
        <v>26</v>
      </c>
      <c r="D21" s="61"/>
      <c r="E21" s="87"/>
    </row>
    <row r="22" spans="1:5" x14ac:dyDescent="0.3">
      <c r="A22" s="6" t="s">
        <v>45</v>
      </c>
      <c r="B22" s="7" t="s">
        <v>38</v>
      </c>
      <c r="C22" s="41" t="s">
        <v>26</v>
      </c>
      <c r="D22" s="61"/>
      <c r="E22" s="87"/>
    </row>
    <row r="23" spans="1:5" x14ac:dyDescent="0.3">
      <c r="A23" s="6" t="s">
        <v>46</v>
      </c>
      <c r="B23" s="7" t="s">
        <v>38</v>
      </c>
      <c r="C23" s="41" t="s">
        <v>26</v>
      </c>
      <c r="D23" s="61"/>
      <c r="E23" s="87"/>
    </row>
    <row r="24" spans="1:5" x14ac:dyDescent="0.3">
      <c r="A24" s="6" t="s">
        <v>47</v>
      </c>
      <c r="B24" s="7" t="s">
        <v>48</v>
      </c>
      <c r="C24" s="41" t="s">
        <v>26</v>
      </c>
      <c r="D24" s="61"/>
      <c r="E24" s="87"/>
    </row>
    <row r="25" spans="1:5" x14ac:dyDescent="0.3">
      <c r="A25" s="6" t="s">
        <v>49</v>
      </c>
      <c r="B25" s="7" t="s">
        <v>38</v>
      </c>
      <c r="C25" s="41" t="s">
        <v>26</v>
      </c>
      <c r="D25" s="68"/>
      <c r="E25" s="87"/>
    </row>
    <row r="26" spans="1:5" x14ac:dyDescent="0.3">
      <c r="A26" s="6" t="s">
        <v>50</v>
      </c>
      <c r="B26" s="7" t="s">
        <v>38</v>
      </c>
      <c r="C26" s="41" t="s">
        <v>26</v>
      </c>
      <c r="D26" s="66"/>
      <c r="E26" s="87"/>
    </row>
    <row r="27" spans="1:5" x14ac:dyDescent="0.3">
      <c r="A27" s="110" t="s">
        <v>51</v>
      </c>
      <c r="B27" s="7" t="s">
        <v>30</v>
      </c>
      <c r="C27" s="41" t="s">
        <v>26</v>
      </c>
      <c r="D27" s="61"/>
      <c r="E27" s="87"/>
    </row>
    <row r="28" spans="1:5" x14ac:dyDescent="0.3">
      <c r="A28" s="110"/>
      <c r="B28" s="7" t="s">
        <v>38</v>
      </c>
      <c r="C28" s="41" t="s">
        <v>26</v>
      </c>
      <c r="D28" s="61"/>
      <c r="E28" s="87"/>
    </row>
    <row r="29" spans="1:5" x14ac:dyDescent="0.3">
      <c r="A29" s="6" t="s">
        <v>52</v>
      </c>
      <c r="B29" s="7"/>
      <c r="C29" s="41">
        <v>45832</v>
      </c>
      <c r="D29" s="62" t="s">
        <v>88</v>
      </c>
      <c r="E29" s="87"/>
    </row>
    <row r="30" spans="1:5" x14ac:dyDescent="0.3">
      <c r="A30" s="6" t="s">
        <v>53</v>
      </c>
      <c r="B30" s="7"/>
      <c r="C30" s="41">
        <v>45832</v>
      </c>
      <c r="D30" s="61" t="s">
        <v>88</v>
      </c>
      <c r="E30" s="87"/>
    </row>
    <row r="31" spans="1:5" x14ac:dyDescent="0.3">
      <c r="A31" s="6" t="s">
        <v>54</v>
      </c>
      <c r="B31" s="7" t="s">
        <v>55</v>
      </c>
      <c r="C31" s="41"/>
      <c r="D31" s="66" t="s">
        <v>89</v>
      </c>
      <c r="E31" s="87"/>
    </row>
    <row r="32" spans="1:5" x14ac:dyDescent="0.3">
      <c r="A32" s="6" t="s">
        <v>56</v>
      </c>
      <c r="B32" s="7" t="s">
        <v>55</v>
      </c>
      <c r="C32" s="41"/>
      <c r="D32" s="66" t="s">
        <v>89</v>
      </c>
      <c r="E32" s="87"/>
    </row>
    <row r="33" spans="1:5" x14ac:dyDescent="0.3">
      <c r="A33" s="6" t="s">
        <v>57</v>
      </c>
      <c r="B33" s="7" t="s">
        <v>55</v>
      </c>
      <c r="C33" s="41"/>
      <c r="D33" s="66" t="s">
        <v>90</v>
      </c>
      <c r="E33" s="87"/>
    </row>
    <row r="34" spans="1:5" x14ac:dyDescent="0.3">
      <c r="A34" s="6" t="s">
        <v>58</v>
      </c>
      <c r="B34" s="7" t="s">
        <v>55</v>
      </c>
      <c r="C34" s="41" t="s">
        <v>26</v>
      </c>
      <c r="D34" s="65" t="s">
        <v>91</v>
      </c>
      <c r="E34" s="87"/>
    </row>
    <row r="35" spans="1:5" x14ac:dyDescent="0.3">
      <c r="A35" s="6" t="s">
        <v>59</v>
      </c>
      <c r="B35" s="7"/>
      <c r="C35" s="41"/>
      <c r="D35" s="61" t="s">
        <v>92</v>
      </c>
      <c r="E35" s="87"/>
    </row>
    <row r="36" spans="1:5" x14ac:dyDescent="0.3">
      <c r="A36" s="6" t="s">
        <v>60</v>
      </c>
      <c r="B36" s="7" t="s">
        <v>61</v>
      </c>
      <c r="C36" s="41">
        <v>42856</v>
      </c>
      <c r="D36" s="61" t="s">
        <v>93</v>
      </c>
      <c r="E36" s="87"/>
    </row>
    <row r="37" spans="1:5" x14ac:dyDescent="0.3">
      <c r="A37" s="6" t="s">
        <v>62</v>
      </c>
      <c r="B37" s="7"/>
      <c r="C37" s="41" t="s">
        <v>26</v>
      </c>
      <c r="D37" s="61"/>
      <c r="E37" s="87"/>
    </row>
    <row r="38" spans="1:5" x14ac:dyDescent="0.3">
      <c r="A38" s="6" t="s">
        <v>63</v>
      </c>
      <c r="B38" s="7"/>
      <c r="C38" s="41">
        <v>45832</v>
      </c>
      <c r="D38" s="61"/>
      <c r="E38" s="87"/>
    </row>
    <row r="39" spans="1:5" x14ac:dyDescent="0.3">
      <c r="A39" s="6" t="s">
        <v>64</v>
      </c>
      <c r="B39" s="7"/>
      <c r="C39" s="41">
        <v>45832</v>
      </c>
      <c r="D39" s="61"/>
      <c r="E39" s="87"/>
    </row>
    <row r="40" spans="1:5" x14ac:dyDescent="0.3">
      <c r="A40" s="6" t="s">
        <v>65</v>
      </c>
      <c r="B40" s="7"/>
      <c r="C40" s="41">
        <v>45832</v>
      </c>
      <c r="D40" s="61" t="s">
        <v>94</v>
      </c>
      <c r="E40" s="87"/>
    </row>
    <row r="41" spans="1:5" x14ac:dyDescent="0.3">
      <c r="A41" s="6" t="s">
        <v>66</v>
      </c>
      <c r="B41" s="7"/>
      <c r="C41" s="41" t="s">
        <v>26</v>
      </c>
      <c r="D41" s="61"/>
      <c r="E41" s="87"/>
    </row>
    <row r="42" spans="1:5" x14ac:dyDescent="0.3">
      <c r="A42" s="6" t="s">
        <v>67</v>
      </c>
      <c r="B42" s="7"/>
      <c r="C42" s="41">
        <v>45832</v>
      </c>
      <c r="D42" s="61" t="s">
        <v>95</v>
      </c>
      <c r="E42" s="87"/>
    </row>
    <row r="43" spans="1:5" x14ac:dyDescent="0.3">
      <c r="A43" s="6" t="s">
        <v>68</v>
      </c>
      <c r="B43" s="7" t="s">
        <v>69</v>
      </c>
      <c r="C43" s="41"/>
      <c r="D43" s="61" t="s">
        <v>96</v>
      </c>
      <c r="E43" s="87"/>
    </row>
    <row r="44" spans="1:5" x14ac:dyDescent="0.3">
      <c r="A44" s="6" t="s">
        <v>70</v>
      </c>
      <c r="B44" s="7" t="s">
        <v>69</v>
      </c>
      <c r="C44" s="41"/>
      <c r="D44" s="61" t="s">
        <v>97</v>
      </c>
      <c r="E44" s="87"/>
    </row>
    <row r="45" spans="1:5" x14ac:dyDescent="0.3">
      <c r="A45" s="6" t="s">
        <v>71</v>
      </c>
      <c r="B45" s="7" t="s">
        <v>72</v>
      </c>
      <c r="C45" s="41"/>
      <c r="D45" s="62" t="s">
        <v>98</v>
      </c>
      <c r="E45" s="87"/>
    </row>
    <row r="46" spans="1:5" ht="15" thickBot="1" x14ac:dyDescent="0.35">
      <c r="A46" s="3" t="s">
        <v>71</v>
      </c>
      <c r="B46" s="5" t="s">
        <v>73</v>
      </c>
      <c r="C46" s="43"/>
      <c r="D46" s="62" t="s">
        <v>98</v>
      </c>
      <c r="E46" s="88"/>
    </row>
    <row r="47" spans="1:5" x14ac:dyDescent="0.3">
      <c r="C47" s="113" t="s">
        <v>74</v>
      </c>
      <c r="D47" s="133"/>
    </row>
    <row r="48" spans="1:5" x14ac:dyDescent="0.3">
      <c r="C48" s="115" t="s">
        <v>99</v>
      </c>
      <c r="D48" s="134"/>
    </row>
    <row r="49" spans="3:4" x14ac:dyDescent="0.3">
      <c r="C49" s="117" t="s">
        <v>76</v>
      </c>
      <c r="D49" s="135"/>
    </row>
    <row r="50" spans="3:4" x14ac:dyDescent="0.3">
      <c r="C50" s="100" t="s">
        <v>77</v>
      </c>
      <c r="D50" s="131"/>
    </row>
    <row r="51" spans="3:4" ht="15" thickBot="1" x14ac:dyDescent="0.35">
      <c r="C51" s="98" t="s">
        <v>78</v>
      </c>
      <c r="D51" s="132"/>
    </row>
    <row r="52" spans="3:4" x14ac:dyDescent="0.3">
      <c r="D52" s="21"/>
    </row>
  </sheetData>
  <sheetProtection algorithmName="SHA-512" hashValue="SPdwmzEUk056HB4ni335KH/kvSHSk83DcdLDYx25opiWCdYOr50H//V3RPmsfkUQpMgzlAqm7etaHTjg7MHEyg==" saltValue="b6eK66HCteYDOh4ipZU6Sw==" spinCount="100000" sheet="1" objects="1" scenarios="1" selectLockedCells="1"/>
  <mergeCells count="14">
    <mergeCell ref="A10:A11"/>
    <mergeCell ref="C50:D50"/>
    <mergeCell ref="C51:D51"/>
    <mergeCell ref="A15:A16"/>
    <mergeCell ref="A18:A19"/>
    <mergeCell ref="A27:A28"/>
    <mergeCell ref="C47:D47"/>
    <mergeCell ref="C48:D48"/>
    <mergeCell ref="C49:D49"/>
    <mergeCell ref="E1:E2"/>
    <mergeCell ref="A1:B2"/>
    <mergeCell ref="C1:C2"/>
    <mergeCell ref="D1:D2"/>
    <mergeCell ref="A8:A9"/>
  </mergeCells>
  <conditionalFormatting sqref="C3:C4 C34 C36">
    <cfRule type="expression" dxfId="257" priority="9">
      <formula>TODAY()-C3&gt;1095</formula>
    </cfRule>
    <cfRule type="expression" dxfId="256" priority="10">
      <formula>TODAY()-C3&lt;=1035</formula>
    </cfRule>
    <cfRule type="expression" dxfId="255" priority="11">
      <formula>AND(TODAY()-C3&gt;1035, TODAY()-C3&lt;=1095)</formula>
    </cfRule>
  </conditionalFormatting>
  <conditionalFormatting sqref="C5:C16 C18:C30 C32:C33 C37:C46">
    <cfRule type="expression" dxfId="254" priority="2">
      <formula>TODAY()-C5&gt;365</formula>
    </cfRule>
    <cfRule type="expression" dxfId="253" priority="12">
      <formula>AND(TODAY()-C5&gt;304, TODAY()-C5&lt;=365)</formula>
    </cfRule>
    <cfRule type="expression" dxfId="252" priority="13">
      <formula>TODAY()-C5&lt;=304</formula>
    </cfRule>
  </conditionalFormatting>
  <conditionalFormatting sqref="C17">
    <cfRule type="expression" dxfId="251" priority="6">
      <formula>TODAY()-C17&lt;=1765</formula>
    </cfRule>
    <cfRule type="expression" dxfId="250" priority="7">
      <formula>AND(TODAY()-C17&gt;1765, TODAY()-C17&lt;=1825)</formula>
    </cfRule>
    <cfRule type="expression" dxfId="249" priority="8">
      <formula>TODAY()-C17&gt;1825</formula>
    </cfRule>
  </conditionalFormatting>
  <conditionalFormatting sqref="C31">
    <cfRule type="expression" dxfId="248" priority="3">
      <formula>TODAY()-C31&lt;=669</formula>
    </cfRule>
    <cfRule type="expression" dxfId="247" priority="4">
      <formula>AND(TODAY()-C31&gt;669, TODAY()-C31&lt;=730)</formula>
    </cfRule>
    <cfRule type="expression" dxfId="246" priority="14">
      <formula>TODAY()-C31&gt;730</formula>
    </cfRule>
  </conditionalFormatting>
  <conditionalFormatting sqref="C35">
    <cfRule type="notContainsBlanks" dxfId="245" priority="1">
      <formula>LEN(TRIM(C35))&gt;0</formula>
    </cfRule>
    <cfRule type="containsBlanks" dxfId="244" priority="5">
      <formula>LEN(TRIM(C35))=0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C438-7E1F-4BFC-B51C-34B6731B8C8F}">
  <sheetPr>
    <pageSetUpPr fitToPage="1"/>
  </sheetPr>
  <dimension ref="A1:E51"/>
  <sheetViews>
    <sheetView topLeftCell="B1" zoomScale="60" zoomScaleNormal="60" workbookViewId="0">
      <selection activeCell="D3" sqref="D3"/>
    </sheetView>
  </sheetViews>
  <sheetFormatPr baseColWidth="10" defaultColWidth="11.44140625" defaultRowHeight="14.4" x14ac:dyDescent="0.3"/>
  <cols>
    <col min="1" max="1" width="66.5546875" bestFit="1" customWidth="1"/>
    <col min="2" max="2" width="25.88671875" bestFit="1" customWidth="1"/>
    <col min="3" max="3" width="21" customWidth="1"/>
    <col min="4" max="4" width="133.6640625" bestFit="1" customWidth="1"/>
    <col min="5" max="5" width="41.33203125" bestFit="1" customWidth="1"/>
  </cols>
  <sheetData>
    <row r="1" spans="1:5" ht="14.4" customHeight="1" x14ac:dyDescent="0.3">
      <c r="A1" s="102" t="s">
        <v>0</v>
      </c>
      <c r="B1" s="103"/>
      <c r="C1" s="106" t="s">
        <v>79</v>
      </c>
      <c r="D1" s="108" t="s">
        <v>100</v>
      </c>
      <c r="E1" s="108" t="s">
        <v>81</v>
      </c>
    </row>
    <row r="2" spans="1:5" x14ac:dyDescent="0.3">
      <c r="A2" s="104"/>
      <c r="B2" s="105"/>
      <c r="C2" s="107"/>
      <c r="D2" s="109"/>
      <c r="E2" s="109"/>
    </row>
    <row r="3" spans="1:5" x14ac:dyDescent="0.3">
      <c r="A3" s="2" t="s">
        <v>24</v>
      </c>
      <c r="B3" s="20" t="s">
        <v>25</v>
      </c>
      <c r="C3" s="42" t="s">
        <v>101</v>
      </c>
      <c r="D3" s="47" t="s">
        <v>102</v>
      </c>
      <c r="E3" s="86"/>
    </row>
    <row r="4" spans="1:5" x14ac:dyDescent="0.3">
      <c r="A4" s="6" t="s">
        <v>27</v>
      </c>
      <c r="B4" s="7" t="s">
        <v>28</v>
      </c>
      <c r="C4" s="41" t="s">
        <v>26</v>
      </c>
      <c r="D4" s="25"/>
      <c r="E4" s="87" t="s">
        <v>103</v>
      </c>
    </row>
    <row r="5" spans="1:5" x14ac:dyDescent="0.3">
      <c r="A5" s="6" t="s">
        <v>29</v>
      </c>
      <c r="B5" s="7" t="s">
        <v>30</v>
      </c>
      <c r="C5" s="41">
        <v>46041</v>
      </c>
      <c r="D5" s="45" t="s">
        <v>104</v>
      </c>
      <c r="E5" s="87" t="s">
        <v>105</v>
      </c>
    </row>
    <row r="6" spans="1:5" x14ac:dyDescent="0.3">
      <c r="A6" s="6" t="s">
        <v>31</v>
      </c>
      <c r="B6" s="7" t="s">
        <v>30</v>
      </c>
      <c r="C6" s="41">
        <v>45624</v>
      </c>
      <c r="D6" s="45"/>
      <c r="E6" s="87" t="s">
        <v>106</v>
      </c>
    </row>
    <row r="7" spans="1:5" x14ac:dyDescent="0.3">
      <c r="A7" s="6" t="s">
        <v>32</v>
      </c>
      <c r="B7" s="7" t="s">
        <v>30</v>
      </c>
      <c r="C7" s="41" t="s">
        <v>26</v>
      </c>
      <c r="D7" s="45"/>
      <c r="E7" s="87"/>
    </row>
    <row r="8" spans="1:5" ht="15" customHeight="1" x14ac:dyDescent="0.3">
      <c r="A8" s="110" t="s">
        <v>33</v>
      </c>
      <c r="B8" s="7">
        <v>1</v>
      </c>
      <c r="C8" s="41">
        <v>45923</v>
      </c>
      <c r="D8" s="46"/>
      <c r="E8" s="87"/>
    </row>
    <row r="9" spans="1:5" ht="15" customHeight="1" x14ac:dyDescent="0.3">
      <c r="A9" s="110"/>
      <c r="B9" s="7">
        <v>2</v>
      </c>
      <c r="C9" s="41">
        <v>45803</v>
      </c>
      <c r="D9" s="45"/>
      <c r="E9" s="87"/>
    </row>
    <row r="10" spans="1:5" ht="15" customHeight="1" x14ac:dyDescent="0.3">
      <c r="A10" s="111" t="s">
        <v>34</v>
      </c>
      <c r="B10" s="7">
        <v>1</v>
      </c>
      <c r="C10" s="41">
        <v>45943</v>
      </c>
      <c r="D10" s="46"/>
      <c r="E10" s="87"/>
    </row>
    <row r="11" spans="1:5" ht="15" customHeight="1" x14ac:dyDescent="0.3">
      <c r="A11" s="112"/>
      <c r="B11" s="7">
        <v>2</v>
      </c>
      <c r="C11" s="41"/>
      <c r="D11" s="45"/>
      <c r="E11" s="87"/>
    </row>
    <row r="12" spans="1:5" x14ac:dyDescent="0.3">
      <c r="A12" s="15" t="s">
        <v>35</v>
      </c>
      <c r="B12" s="7" t="s">
        <v>36</v>
      </c>
      <c r="C12" s="41">
        <v>45809</v>
      </c>
      <c r="D12" s="45" t="s">
        <v>107</v>
      </c>
      <c r="E12" s="87"/>
    </row>
    <row r="13" spans="1:5" x14ac:dyDescent="0.3">
      <c r="A13" s="6" t="s">
        <v>37</v>
      </c>
      <c r="B13" s="7" t="s">
        <v>38</v>
      </c>
      <c r="C13" s="41">
        <v>46041</v>
      </c>
      <c r="D13" s="45" t="s">
        <v>108</v>
      </c>
      <c r="E13" s="87"/>
    </row>
    <row r="14" spans="1:5" x14ac:dyDescent="0.3">
      <c r="A14" s="6" t="s">
        <v>39</v>
      </c>
      <c r="B14" s="7" t="s">
        <v>38</v>
      </c>
      <c r="C14" s="41" t="s">
        <v>26</v>
      </c>
      <c r="D14" s="45"/>
      <c r="E14" s="87"/>
    </row>
    <row r="15" spans="1:5" ht="15" customHeight="1" x14ac:dyDescent="0.3">
      <c r="A15" s="110" t="s">
        <v>40</v>
      </c>
      <c r="B15" s="7" t="s">
        <v>30</v>
      </c>
      <c r="C15" s="41" t="s">
        <v>26</v>
      </c>
      <c r="D15" s="45"/>
      <c r="E15" s="87"/>
    </row>
    <row r="16" spans="1:5" ht="15" customHeight="1" x14ac:dyDescent="0.3">
      <c r="A16" s="110"/>
      <c r="B16" s="7" t="s">
        <v>38</v>
      </c>
      <c r="C16" s="41" t="s">
        <v>26</v>
      </c>
      <c r="D16" s="45"/>
      <c r="E16" s="87"/>
    </row>
    <row r="17" spans="1:5" x14ac:dyDescent="0.3">
      <c r="A17" s="6" t="s">
        <v>41</v>
      </c>
      <c r="B17" s="7" t="s">
        <v>28</v>
      </c>
      <c r="C17" s="41" t="s">
        <v>26</v>
      </c>
      <c r="D17" s="25"/>
      <c r="E17" s="87"/>
    </row>
    <row r="18" spans="1:5" ht="15" customHeight="1" x14ac:dyDescent="0.3">
      <c r="A18" s="110" t="s">
        <v>42</v>
      </c>
      <c r="B18" s="7" t="s">
        <v>30</v>
      </c>
      <c r="C18" s="41" t="s">
        <v>26</v>
      </c>
      <c r="D18" s="45"/>
      <c r="E18" s="87"/>
    </row>
    <row r="19" spans="1:5" ht="15" customHeight="1" x14ac:dyDescent="0.3">
      <c r="A19" s="110"/>
      <c r="B19" s="7" t="s">
        <v>38</v>
      </c>
      <c r="C19" s="41" t="s">
        <v>26</v>
      </c>
      <c r="D19" s="45"/>
      <c r="E19" s="87"/>
    </row>
    <row r="20" spans="1:5" x14ac:dyDescent="0.3">
      <c r="A20" s="6" t="s">
        <v>43</v>
      </c>
      <c r="B20" s="7" t="s">
        <v>38</v>
      </c>
      <c r="C20" s="41">
        <v>45701</v>
      </c>
      <c r="D20" s="25"/>
      <c r="E20" s="87" t="s">
        <v>109</v>
      </c>
    </row>
    <row r="21" spans="1:5" x14ac:dyDescent="0.3">
      <c r="A21" s="6" t="s">
        <v>44</v>
      </c>
      <c r="B21" s="7" t="s">
        <v>30</v>
      </c>
      <c r="C21" s="41" t="s">
        <v>26</v>
      </c>
      <c r="D21" s="25"/>
      <c r="E21" s="87" t="s">
        <v>110</v>
      </c>
    </row>
    <row r="22" spans="1:5" x14ac:dyDescent="0.3">
      <c r="A22" s="6" t="s">
        <v>45</v>
      </c>
      <c r="B22" s="7" t="s">
        <v>38</v>
      </c>
      <c r="C22" s="41">
        <v>45686</v>
      </c>
      <c r="D22" s="25" t="s">
        <v>111</v>
      </c>
      <c r="E22" s="87" t="s">
        <v>112</v>
      </c>
    </row>
    <row r="23" spans="1:5" x14ac:dyDescent="0.3">
      <c r="A23" s="6" t="s">
        <v>46</v>
      </c>
      <c r="B23" s="7" t="s">
        <v>38</v>
      </c>
      <c r="C23" s="41" t="s">
        <v>26</v>
      </c>
      <c r="D23" s="25"/>
      <c r="E23" s="87"/>
    </row>
    <row r="24" spans="1:5" x14ac:dyDescent="0.3">
      <c r="A24" s="6" t="s">
        <v>47</v>
      </c>
      <c r="B24" s="7" t="s">
        <v>48</v>
      </c>
      <c r="C24" s="41">
        <v>45751</v>
      </c>
      <c r="D24" s="25"/>
      <c r="E24" s="87" t="s">
        <v>113</v>
      </c>
    </row>
    <row r="25" spans="1:5" x14ac:dyDescent="0.3">
      <c r="A25" s="6" t="s">
        <v>49</v>
      </c>
      <c r="B25" s="7" t="s">
        <v>38</v>
      </c>
      <c r="C25" s="41">
        <v>45912</v>
      </c>
      <c r="D25" s="25"/>
      <c r="E25" s="87"/>
    </row>
    <row r="26" spans="1:5" x14ac:dyDescent="0.3">
      <c r="A26" s="6" t="s">
        <v>50</v>
      </c>
      <c r="B26" s="7" t="s">
        <v>38</v>
      </c>
      <c r="C26" s="41">
        <v>45692</v>
      </c>
      <c r="D26" s="25"/>
      <c r="E26" s="87"/>
    </row>
    <row r="27" spans="1:5" ht="15" customHeight="1" x14ac:dyDescent="0.3">
      <c r="A27" s="110" t="s">
        <v>51</v>
      </c>
      <c r="B27" s="7" t="s">
        <v>30</v>
      </c>
      <c r="C27" s="41" t="s">
        <v>26</v>
      </c>
      <c r="D27" s="25"/>
      <c r="E27" s="87"/>
    </row>
    <row r="28" spans="1:5" ht="15" customHeight="1" x14ac:dyDescent="0.3">
      <c r="A28" s="110"/>
      <c r="B28" s="7" t="s">
        <v>38</v>
      </c>
      <c r="C28" s="41" t="s">
        <v>26</v>
      </c>
      <c r="D28" s="25"/>
      <c r="E28" s="87"/>
    </row>
    <row r="29" spans="1:5" x14ac:dyDescent="0.3">
      <c r="A29" s="6" t="s">
        <v>52</v>
      </c>
      <c r="B29" s="7"/>
      <c r="C29" s="41">
        <v>45989</v>
      </c>
      <c r="D29" s="45" t="s">
        <v>114</v>
      </c>
      <c r="E29" s="87"/>
    </row>
    <row r="30" spans="1:5" x14ac:dyDescent="0.3">
      <c r="A30" s="6" t="s">
        <v>53</v>
      </c>
      <c r="B30" s="7"/>
      <c r="C30" s="41"/>
      <c r="D30" s="25" t="s">
        <v>115</v>
      </c>
      <c r="E30" s="87" t="s">
        <v>116</v>
      </c>
    </row>
    <row r="31" spans="1:5" x14ac:dyDescent="0.3">
      <c r="A31" s="6" t="s">
        <v>54</v>
      </c>
      <c r="B31" s="7" t="s">
        <v>55</v>
      </c>
      <c r="C31" s="41">
        <v>45698</v>
      </c>
      <c r="D31" s="25" t="s">
        <v>117</v>
      </c>
      <c r="E31" s="87" t="s">
        <v>118</v>
      </c>
    </row>
    <row r="32" spans="1:5" x14ac:dyDescent="0.3">
      <c r="A32" s="6" t="s">
        <v>56</v>
      </c>
      <c r="B32" s="7" t="s">
        <v>55</v>
      </c>
      <c r="C32" s="41">
        <v>46057</v>
      </c>
      <c r="D32" s="25" t="s">
        <v>119</v>
      </c>
      <c r="E32" s="87" t="s">
        <v>118</v>
      </c>
    </row>
    <row r="33" spans="1:5" x14ac:dyDescent="0.3">
      <c r="A33" s="6" t="s">
        <v>57</v>
      </c>
      <c r="B33" s="7" t="s">
        <v>55</v>
      </c>
      <c r="C33" s="41"/>
      <c r="D33" s="25" t="s">
        <v>120</v>
      </c>
      <c r="E33" s="87"/>
    </row>
    <row r="34" spans="1:5" x14ac:dyDescent="0.3">
      <c r="A34" s="6" t="s">
        <v>58</v>
      </c>
      <c r="B34" s="7" t="s">
        <v>55</v>
      </c>
      <c r="C34" s="41">
        <v>45771</v>
      </c>
      <c r="D34" s="25"/>
      <c r="E34" s="87"/>
    </row>
    <row r="35" spans="1:5" x14ac:dyDescent="0.3">
      <c r="A35" s="6" t="s">
        <v>59</v>
      </c>
      <c r="B35" s="7"/>
      <c r="C35" s="41"/>
      <c r="D35" s="25" t="s">
        <v>121</v>
      </c>
      <c r="E35" s="87"/>
    </row>
    <row r="36" spans="1:5" x14ac:dyDescent="0.3">
      <c r="A36" s="6" t="s">
        <v>60</v>
      </c>
      <c r="B36" s="7" t="s">
        <v>61</v>
      </c>
      <c r="C36" s="41">
        <v>45444</v>
      </c>
      <c r="D36" s="25"/>
      <c r="E36" s="87"/>
    </row>
    <row r="37" spans="1:5" x14ac:dyDescent="0.3">
      <c r="A37" s="6" t="s">
        <v>62</v>
      </c>
      <c r="B37" s="7"/>
      <c r="C37" s="41"/>
      <c r="D37" s="25" t="s">
        <v>122</v>
      </c>
      <c r="E37" s="87"/>
    </row>
    <row r="38" spans="1:5" x14ac:dyDescent="0.3">
      <c r="A38" s="6" t="s">
        <v>63</v>
      </c>
      <c r="B38" s="7"/>
      <c r="C38" s="41"/>
      <c r="D38" s="25" t="s">
        <v>122</v>
      </c>
      <c r="E38" s="87"/>
    </row>
    <row r="39" spans="1:5" x14ac:dyDescent="0.3">
      <c r="A39" s="6" t="s">
        <v>64</v>
      </c>
      <c r="B39" s="7"/>
      <c r="C39" s="41"/>
      <c r="D39" s="25" t="s">
        <v>122</v>
      </c>
      <c r="E39" s="87"/>
    </row>
    <row r="40" spans="1:5" x14ac:dyDescent="0.3">
      <c r="A40" s="6" t="s">
        <v>65</v>
      </c>
      <c r="B40" s="7"/>
      <c r="C40" s="41">
        <v>46007</v>
      </c>
      <c r="D40" s="25" t="s">
        <v>123</v>
      </c>
      <c r="E40" s="87"/>
    </row>
    <row r="41" spans="1:5" x14ac:dyDescent="0.3">
      <c r="A41" s="6" t="s">
        <v>66</v>
      </c>
      <c r="B41" s="7"/>
      <c r="C41" s="41">
        <v>46002</v>
      </c>
      <c r="D41" s="25"/>
      <c r="E41" s="87"/>
    </row>
    <row r="42" spans="1:5" x14ac:dyDescent="0.3">
      <c r="A42" s="6" t="s">
        <v>67</v>
      </c>
      <c r="B42" s="7"/>
      <c r="C42" s="41">
        <v>1</v>
      </c>
      <c r="D42" s="25" t="s">
        <v>124</v>
      </c>
      <c r="E42" s="87"/>
    </row>
    <row r="43" spans="1:5" x14ac:dyDescent="0.3">
      <c r="A43" s="6" t="s">
        <v>68</v>
      </c>
      <c r="B43" s="7" t="s">
        <v>69</v>
      </c>
      <c r="C43" s="41">
        <v>44136</v>
      </c>
      <c r="D43" s="25" t="s">
        <v>125</v>
      </c>
      <c r="E43" s="87"/>
    </row>
    <row r="44" spans="1:5" x14ac:dyDescent="0.3">
      <c r="A44" s="6" t="s">
        <v>70</v>
      </c>
      <c r="B44" s="7" t="s">
        <v>69</v>
      </c>
      <c r="C44" s="41">
        <v>1</v>
      </c>
      <c r="D44" s="25" t="s">
        <v>126</v>
      </c>
      <c r="E44" s="87"/>
    </row>
    <row r="45" spans="1:5" x14ac:dyDescent="0.3">
      <c r="A45" s="6" t="s">
        <v>71</v>
      </c>
      <c r="B45" s="7" t="s">
        <v>72</v>
      </c>
      <c r="C45" s="41"/>
      <c r="D45" s="45" t="s">
        <v>98</v>
      </c>
      <c r="E45" s="87"/>
    </row>
    <row r="46" spans="1:5" x14ac:dyDescent="0.3">
      <c r="A46" s="3" t="s">
        <v>71</v>
      </c>
      <c r="B46" s="5" t="s">
        <v>73</v>
      </c>
      <c r="C46" s="43"/>
      <c r="D46" s="45" t="s">
        <v>98</v>
      </c>
      <c r="E46" s="88"/>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CFkGtNosXi+qLvXYnk1kG3/Mrk9Q8tbksrF9bgA0fxYQHSnElsmQccQ2rhz4Meg7Ilb6SeisQkuYGU8yWRPYvQ==" saltValue="+hoK+InpggOwABYaCWF/QA==" spinCount="100000" sheet="1" objects="1" scenarios="1" selectLockedCells="1"/>
  <mergeCells count="14">
    <mergeCell ref="E1:E2"/>
    <mergeCell ref="C51:D51"/>
    <mergeCell ref="C50:D50"/>
    <mergeCell ref="A1:B2"/>
    <mergeCell ref="A8:A9"/>
    <mergeCell ref="A10:A11"/>
    <mergeCell ref="A15:A16"/>
    <mergeCell ref="A18:A19"/>
    <mergeCell ref="A27:A28"/>
    <mergeCell ref="C1:C2"/>
    <mergeCell ref="D1:D2"/>
    <mergeCell ref="C47:D47"/>
    <mergeCell ref="C48:D48"/>
    <mergeCell ref="C49:D49"/>
  </mergeCells>
  <conditionalFormatting sqref="C3:C4 C34 C36">
    <cfRule type="expression" dxfId="243" priority="10">
      <formula>TODAY()-C3&gt;1095</formula>
    </cfRule>
    <cfRule type="expression" dxfId="242" priority="11">
      <formula>TODAY()-C3&lt;=1035</formula>
    </cfRule>
    <cfRule type="expression" dxfId="241" priority="12">
      <formula>AND(TODAY()-C3&gt;1035, TODAY()-C3&lt;=1095)</formula>
    </cfRule>
  </conditionalFormatting>
  <conditionalFormatting sqref="C5:C16 C18:C30 C32:C33 C37:C46">
    <cfRule type="expression" dxfId="240" priority="3">
      <formula>TODAY()-C5&gt;365</formula>
    </cfRule>
    <cfRule type="expression" dxfId="239" priority="13">
      <formula>AND(TODAY()-C5&gt;304, TODAY()-C5&lt;=365)</formula>
    </cfRule>
    <cfRule type="expression" dxfId="238" priority="14">
      <formula>TODAY()-C5&lt;=304</formula>
    </cfRule>
  </conditionalFormatting>
  <conditionalFormatting sqref="C17">
    <cfRule type="expression" dxfId="237" priority="7">
      <formula>TODAY()-C17&lt;=1765</formula>
    </cfRule>
    <cfRule type="expression" dxfId="236" priority="8">
      <formula>AND(TODAY()-C17&gt;1765, TODAY()-C17&lt;=1825)</formula>
    </cfRule>
    <cfRule type="expression" dxfId="235" priority="9">
      <formula>TODAY()-C17&gt;1825</formula>
    </cfRule>
  </conditionalFormatting>
  <conditionalFormatting sqref="C31">
    <cfRule type="notContainsBlanks" dxfId="234" priority="1">
      <formula>LEN(TRIM(C31))&gt;0</formula>
    </cfRule>
    <cfRule type="containsBlanks" dxfId="233" priority="2">
      <formula>LEN(TRIM(C31))=0</formula>
    </cfRule>
  </conditionalFormatting>
  <conditionalFormatting sqref="C35">
    <cfRule type="notContainsText" dxfId="232" priority="6" operator="notContains" text="X">
      <formula>ISERROR(SEARCH("X",C35))</formula>
    </cfRule>
  </conditionalFormatting>
  <pageMargins left="0.7" right="0.7" top="0.75" bottom="0.75" header="0.3" footer="0.3"/>
  <pageSetup paperSize="9" fitToWidth="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3921-2922-40F1-894E-E9C2B56D4F08}">
  <sheetPr>
    <pageSetUpPr fitToPage="1"/>
  </sheetPr>
  <dimension ref="A1:E51"/>
  <sheetViews>
    <sheetView zoomScale="70" zoomScaleNormal="70" workbookViewId="0">
      <selection activeCell="C3" sqref="C3"/>
    </sheetView>
  </sheetViews>
  <sheetFormatPr baseColWidth="10" defaultColWidth="11.44140625" defaultRowHeight="14.4" x14ac:dyDescent="0.3"/>
  <cols>
    <col min="1" max="1" width="59.109375" bestFit="1" customWidth="1"/>
    <col min="2" max="2" width="23.33203125" bestFit="1" customWidth="1"/>
    <col min="3" max="3" width="21" customWidth="1"/>
    <col min="4" max="4" width="95.33203125" bestFit="1" customWidth="1"/>
    <col min="5" max="5" width="31.5546875" bestFit="1" customWidth="1"/>
  </cols>
  <sheetData>
    <row r="1" spans="1:5" ht="14.4" customHeight="1" x14ac:dyDescent="0.3">
      <c r="A1" s="102" t="s">
        <v>0</v>
      </c>
      <c r="B1" s="103"/>
      <c r="C1" s="106" t="s">
        <v>79</v>
      </c>
      <c r="D1" s="108" t="s">
        <v>127</v>
      </c>
      <c r="E1" s="96" t="s">
        <v>81</v>
      </c>
    </row>
    <row r="2" spans="1:5" x14ac:dyDescent="0.3">
      <c r="A2" s="104"/>
      <c r="B2" s="105"/>
      <c r="C2" s="107"/>
      <c r="D2" s="109"/>
      <c r="E2" s="97"/>
    </row>
    <row r="3" spans="1:5" x14ac:dyDescent="0.3">
      <c r="A3" s="2" t="s">
        <v>24</v>
      </c>
      <c r="B3" s="20" t="s">
        <v>25</v>
      </c>
      <c r="C3" s="42" t="s">
        <v>101</v>
      </c>
      <c r="D3" s="47" t="s">
        <v>128</v>
      </c>
      <c r="E3" s="89"/>
    </row>
    <row r="4" spans="1:5" x14ac:dyDescent="0.3">
      <c r="A4" s="6" t="s">
        <v>27</v>
      </c>
      <c r="B4" s="7" t="s">
        <v>28</v>
      </c>
      <c r="C4" s="41" t="s">
        <v>26</v>
      </c>
      <c r="D4" s="25"/>
      <c r="E4" s="90" t="s">
        <v>129</v>
      </c>
    </row>
    <row r="5" spans="1:5" x14ac:dyDescent="0.3">
      <c r="A5" s="6" t="s">
        <v>29</v>
      </c>
      <c r="B5" s="7" t="s">
        <v>30</v>
      </c>
      <c r="C5" s="41">
        <v>46028</v>
      </c>
      <c r="D5" s="45"/>
      <c r="E5" s="90"/>
    </row>
    <row r="6" spans="1:5" x14ac:dyDescent="0.3">
      <c r="A6" s="6" t="s">
        <v>31</v>
      </c>
      <c r="B6" s="7" t="s">
        <v>30</v>
      </c>
      <c r="C6" s="41">
        <v>45597</v>
      </c>
      <c r="D6" s="45"/>
      <c r="E6" s="90" t="s">
        <v>130</v>
      </c>
    </row>
    <row r="7" spans="1:5" x14ac:dyDescent="0.3">
      <c r="A7" s="6" t="s">
        <v>32</v>
      </c>
      <c r="B7" s="7" t="s">
        <v>30</v>
      </c>
      <c r="C7" s="41" t="s">
        <v>26</v>
      </c>
      <c r="E7" s="90"/>
    </row>
    <row r="8" spans="1:5" ht="15" customHeight="1" x14ac:dyDescent="0.3">
      <c r="A8" s="110" t="s">
        <v>33</v>
      </c>
      <c r="B8" s="7">
        <v>1</v>
      </c>
      <c r="C8" s="41">
        <v>45923</v>
      </c>
      <c r="D8" s="46"/>
      <c r="E8" s="90"/>
    </row>
    <row r="9" spans="1:5" ht="15" customHeight="1" x14ac:dyDescent="0.3">
      <c r="A9" s="110"/>
      <c r="B9" s="7">
        <v>2</v>
      </c>
      <c r="C9" s="41">
        <v>45678</v>
      </c>
      <c r="D9" s="45"/>
      <c r="E9" s="90"/>
    </row>
    <row r="10" spans="1:5" ht="15" customHeight="1" x14ac:dyDescent="0.3">
      <c r="A10" s="111" t="s">
        <v>34</v>
      </c>
      <c r="B10" s="7">
        <v>1</v>
      </c>
      <c r="C10" s="41">
        <v>45943</v>
      </c>
      <c r="D10" s="46"/>
      <c r="E10" s="90"/>
    </row>
    <row r="11" spans="1:5" ht="15" customHeight="1" x14ac:dyDescent="0.3">
      <c r="A11" s="112"/>
      <c r="B11" s="7">
        <v>2</v>
      </c>
      <c r="C11" s="41"/>
      <c r="D11" s="45"/>
      <c r="E11" s="90"/>
    </row>
    <row r="12" spans="1:5" x14ac:dyDescent="0.3">
      <c r="A12" s="15" t="s">
        <v>35</v>
      </c>
      <c r="B12" s="7" t="s">
        <v>36</v>
      </c>
      <c r="C12" s="41">
        <v>45809</v>
      </c>
      <c r="D12" s="45" t="s">
        <v>131</v>
      </c>
      <c r="E12" s="90"/>
    </row>
    <row r="13" spans="1:5" x14ac:dyDescent="0.3">
      <c r="A13" s="6" t="s">
        <v>37</v>
      </c>
      <c r="B13" s="7" t="s">
        <v>38</v>
      </c>
      <c r="C13" s="41">
        <v>46041</v>
      </c>
      <c r="D13" s="45" t="s">
        <v>132</v>
      </c>
      <c r="E13" s="90"/>
    </row>
    <row r="14" spans="1:5" x14ac:dyDescent="0.3">
      <c r="A14" s="6" t="s">
        <v>39</v>
      </c>
      <c r="B14" s="7" t="s">
        <v>38</v>
      </c>
      <c r="C14" s="41" t="s">
        <v>26</v>
      </c>
      <c r="D14" s="45"/>
      <c r="E14" s="90"/>
    </row>
    <row r="15" spans="1:5" ht="15" customHeight="1" x14ac:dyDescent="0.3">
      <c r="A15" s="110" t="s">
        <v>40</v>
      </c>
      <c r="B15" s="7" t="s">
        <v>30</v>
      </c>
      <c r="C15" s="41" t="s">
        <v>26</v>
      </c>
      <c r="D15" s="45"/>
      <c r="E15" s="90"/>
    </row>
    <row r="16" spans="1:5" ht="15" customHeight="1" x14ac:dyDescent="0.3">
      <c r="A16" s="110"/>
      <c r="B16" s="7" t="s">
        <v>38</v>
      </c>
      <c r="C16" s="41" t="s">
        <v>26</v>
      </c>
      <c r="D16" s="45"/>
      <c r="E16" s="90"/>
    </row>
    <row r="17" spans="1:5" x14ac:dyDescent="0.3">
      <c r="A17" s="6" t="s">
        <v>41</v>
      </c>
      <c r="B17" s="7" t="s">
        <v>28</v>
      </c>
      <c r="C17" s="41" t="s">
        <v>26</v>
      </c>
      <c r="D17" s="25"/>
      <c r="E17" s="90"/>
    </row>
    <row r="18" spans="1:5" ht="15" customHeight="1" x14ac:dyDescent="0.3">
      <c r="A18" s="110" t="s">
        <v>42</v>
      </c>
      <c r="B18" s="7" t="s">
        <v>30</v>
      </c>
      <c r="C18" s="41" t="s">
        <v>26</v>
      </c>
      <c r="D18" s="45"/>
      <c r="E18" s="90"/>
    </row>
    <row r="19" spans="1:5" ht="15" customHeight="1" x14ac:dyDescent="0.3">
      <c r="A19" s="110"/>
      <c r="B19" s="7" t="s">
        <v>38</v>
      </c>
      <c r="C19" s="41" t="s">
        <v>26</v>
      </c>
      <c r="D19" s="45"/>
      <c r="E19" s="90"/>
    </row>
    <row r="20" spans="1:5" x14ac:dyDescent="0.3">
      <c r="A20" s="6" t="s">
        <v>43</v>
      </c>
      <c r="B20" s="7" t="s">
        <v>38</v>
      </c>
      <c r="C20" s="41">
        <v>45701</v>
      </c>
      <c r="D20" s="25" t="s">
        <v>133</v>
      </c>
      <c r="E20" s="90" t="s">
        <v>109</v>
      </c>
    </row>
    <row r="21" spans="1:5" x14ac:dyDescent="0.3">
      <c r="A21" s="6" t="s">
        <v>44</v>
      </c>
      <c r="B21" s="7" t="s">
        <v>30</v>
      </c>
      <c r="C21" s="41" t="s">
        <v>26</v>
      </c>
      <c r="D21" s="25"/>
      <c r="E21" s="90" t="s">
        <v>134</v>
      </c>
    </row>
    <row r="22" spans="1:5" x14ac:dyDescent="0.3">
      <c r="A22" s="6" t="s">
        <v>45</v>
      </c>
      <c r="B22" s="7" t="s">
        <v>38</v>
      </c>
      <c r="C22" s="41" t="s">
        <v>26</v>
      </c>
      <c r="D22" s="25" t="s">
        <v>135</v>
      </c>
      <c r="E22" s="90" t="s">
        <v>136</v>
      </c>
    </row>
    <row r="23" spans="1:5" x14ac:dyDescent="0.3">
      <c r="A23" s="6" t="s">
        <v>46</v>
      </c>
      <c r="B23" s="7" t="s">
        <v>38</v>
      </c>
      <c r="C23" s="41" t="s">
        <v>26</v>
      </c>
      <c r="D23" s="25"/>
      <c r="E23" s="90"/>
    </row>
    <row r="24" spans="1:5" x14ac:dyDescent="0.3">
      <c r="A24" s="6" t="s">
        <v>47</v>
      </c>
      <c r="B24" s="7" t="s">
        <v>48</v>
      </c>
      <c r="C24" s="41">
        <v>45751</v>
      </c>
      <c r="D24" s="25"/>
      <c r="E24" s="90"/>
    </row>
    <row r="25" spans="1:5" x14ac:dyDescent="0.3">
      <c r="A25" s="6" t="s">
        <v>49</v>
      </c>
      <c r="B25" s="7" t="s">
        <v>38</v>
      </c>
      <c r="C25" s="41" t="s">
        <v>26</v>
      </c>
      <c r="D25" s="25"/>
      <c r="E25" s="90"/>
    </row>
    <row r="26" spans="1:5" x14ac:dyDescent="0.3">
      <c r="A26" s="6" t="s">
        <v>50</v>
      </c>
      <c r="B26" s="7" t="s">
        <v>38</v>
      </c>
      <c r="C26" s="41">
        <v>46043</v>
      </c>
      <c r="D26" s="25" t="s">
        <v>137</v>
      </c>
      <c r="E26" s="90" t="s">
        <v>138</v>
      </c>
    </row>
    <row r="27" spans="1:5" ht="15" customHeight="1" x14ac:dyDescent="0.3">
      <c r="A27" s="110" t="s">
        <v>51</v>
      </c>
      <c r="B27" s="7" t="s">
        <v>30</v>
      </c>
      <c r="C27" s="41" t="s">
        <v>26</v>
      </c>
      <c r="D27" s="25"/>
      <c r="E27" s="90"/>
    </row>
    <row r="28" spans="1:5" ht="15" customHeight="1" x14ac:dyDescent="0.3">
      <c r="A28" s="110"/>
      <c r="B28" s="7" t="s">
        <v>38</v>
      </c>
      <c r="C28" s="41" t="s">
        <v>26</v>
      </c>
      <c r="D28" s="25"/>
      <c r="E28" s="90"/>
    </row>
    <row r="29" spans="1:5" x14ac:dyDescent="0.3">
      <c r="A29" s="6" t="s">
        <v>52</v>
      </c>
      <c r="B29" s="7"/>
      <c r="C29" s="41">
        <v>45658</v>
      </c>
      <c r="D29" s="45" t="s">
        <v>139</v>
      </c>
      <c r="E29" s="90"/>
    </row>
    <row r="30" spans="1:5" x14ac:dyDescent="0.3">
      <c r="A30" s="6" t="s">
        <v>53</v>
      </c>
      <c r="B30" s="7"/>
      <c r="C30" s="41">
        <v>45658</v>
      </c>
      <c r="D30" s="25"/>
      <c r="E30" s="90"/>
    </row>
    <row r="31" spans="1:5" x14ac:dyDescent="0.3">
      <c r="A31" s="6" t="s">
        <v>54</v>
      </c>
      <c r="B31" s="7" t="s">
        <v>55</v>
      </c>
      <c r="C31" s="41">
        <v>45698</v>
      </c>
      <c r="D31" s="25"/>
      <c r="E31" s="90" t="s">
        <v>118</v>
      </c>
    </row>
    <row r="32" spans="1:5" x14ac:dyDescent="0.3">
      <c r="A32" s="6" t="s">
        <v>56</v>
      </c>
      <c r="B32" s="7" t="s">
        <v>55</v>
      </c>
      <c r="C32" s="41">
        <v>46057</v>
      </c>
      <c r="D32" s="25" t="s">
        <v>140</v>
      </c>
      <c r="E32" s="90" t="s">
        <v>118</v>
      </c>
    </row>
    <row r="33" spans="1:5" x14ac:dyDescent="0.3">
      <c r="A33" s="6" t="s">
        <v>57</v>
      </c>
      <c r="B33" s="7" t="s">
        <v>55</v>
      </c>
      <c r="C33" s="41"/>
      <c r="D33" s="25" t="s">
        <v>141</v>
      </c>
      <c r="E33" s="90"/>
    </row>
    <row r="34" spans="1:5" x14ac:dyDescent="0.3">
      <c r="A34" s="6" t="s">
        <v>58</v>
      </c>
      <c r="B34" s="7" t="s">
        <v>55</v>
      </c>
      <c r="C34" s="41">
        <v>45771</v>
      </c>
      <c r="D34" s="25"/>
      <c r="E34" s="90"/>
    </row>
    <row r="35" spans="1:5" x14ac:dyDescent="0.3">
      <c r="A35" s="6" t="s">
        <v>59</v>
      </c>
      <c r="B35" s="7"/>
      <c r="C35" s="41"/>
      <c r="D35" s="25" t="s">
        <v>121</v>
      </c>
      <c r="E35" s="90"/>
    </row>
    <row r="36" spans="1:5" x14ac:dyDescent="0.3">
      <c r="A36" s="6" t="s">
        <v>60</v>
      </c>
      <c r="B36" s="7" t="s">
        <v>61</v>
      </c>
      <c r="C36" s="41">
        <v>45444</v>
      </c>
      <c r="D36" s="25"/>
      <c r="E36" s="90"/>
    </row>
    <row r="37" spans="1:5" x14ac:dyDescent="0.3">
      <c r="A37" s="6" t="s">
        <v>62</v>
      </c>
      <c r="B37" s="7"/>
      <c r="C37" s="41"/>
      <c r="D37" s="25" t="s">
        <v>122</v>
      </c>
      <c r="E37" s="90"/>
    </row>
    <row r="38" spans="1:5" x14ac:dyDescent="0.3">
      <c r="A38" s="6" t="s">
        <v>63</v>
      </c>
      <c r="B38" s="7"/>
      <c r="C38" s="41"/>
      <c r="D38" s="25" t="s">
        <v>122</v>
      </c>
      <c r="E38" s="90"/>
    </row>
    <row r="39" spans="1:5" x14ac:dyDescent="0.3">
      <c r="A39" s="6" t="s">
        <v>64</v>
      </c>
      <c r="B39" s="7"/>
      <c r="C39" s="41"/>
      <c r="D39" s="25" t="s">
        <v>122</v>
      </c>
      <c r="E39" s="90"/>
    </row>
    <row r="40" spans="1:5" x14ac:dyDescent="0.3">
      <c r="A40" s="6" t="s">
        <v>65</v>
      </c>
      <c r="B40" s="7"/>
      <c r="C40" s="41">
        <v>46007</v>
      </c>
      <c r="D40" s="25" t="s">
        <v>123</v>
      </c>
      <c r="E40" s="90"/>
    </row>
    <row r="41" spans="1:5" x14ac:dyDescent="0.3">
      <c r="A41" s="6" t="s">
        <v>66</v>
      </c>
      <c r="B41" s="7"/>
      <c r="C41" s="41">
        <v>46002</v>
      </c>
      <c r="D41" s="25"/>
      <c r="E41" s="90" t="s">
        <v>142</v>
      </c>
    </row>
    <row r="42" spans="1:5" x14ac:dyDescent="0.3">
      <c r="A42" s="6" t="s">
        <v>67</v>
      </c>
      <c r="B42" s="7"/>
      <c r="C42" s="41"/>
      <c r="D42" s="25" t="s">
        <v>124</v>
      </c>
      <c r="E42" s="90"/>
    </row>
    <row r="43" spans="1:5" x14ac:dyDescent="0.3">
      <c r="A43" s="6" t="s">
        <v>68</v>
      </c>
      <c r="B43" s="7" t="s">
        <v>69</v>
      </c>
      <c r="C43" s="41">
        <v>44136</v>
      </c>
      <c r="D43" s="25" t="s">
        <v>143</v>
      </c>
      <c r="E43" s="90"/>
    </row>
    <row r="44" spans="1:5" x14ac:dyDescent="0.3">
      <c r="A44" s="6" t="s">
        <v>70</v>
      </c>
      <c r="B44" s="7" t="s">
        <v>69</v>
      </c>
      <c r="C44" s="41"/>
      <c r="D44" s="25" t="s">
        <v>126</v>
      </c>
      <c r="E44" s="90"/>
    </row>
    <row r="45" spans="1:5" x14ac:dyDescent="0.3">
      <c r="A45" s="6" t="s">
        <v>71</v>
      </c>
      <c r="B45" s="7" t="s">
        <v>72</v>
      </c>
      <c r="C45" s="41"/>
      <c r="D45" s="45" t="s">
        <v>98</v>
      </c>
      <c r="E45" s="90"/>
    </row>
    <row r="46" spans="1:5" x14ac:dyDescent="0.3">
      <c r="A46" s="3" t="s">
        <v>71</v>
      </c>
      <c r="B46" s="5" t="s">
        <v>73</v>
      </c>
      <c r="C46" s="43"/>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2DSTZAZMN6hEe0TSbx6R0RY7MncGHReDZYQEVilEc4HwR5Quexb1wJuOkRChqTxV2ddPSpAnXn0ECTErZvTc/g==" saltValue="DfZhG4hLK5RKEaeu8cAfFw=="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231" priority="10">
      <formula>TODAY()-C3&gt;1095</formula>
    </cfRule>
    <cfRule type="expression" dxfId="230" priority="11">
      <formula>TODAY()-C3&lt;=1035</formula>
    </cfRule>
    <cfRule type="expression" dxfId="229" priority="12">
      <formula>AND(TODAY()-C3&gt;1035, TODAY()-C3&lt;=1095)</formula>
    </cfRule>
  </conditionalFormatting>
  <conditionalFormatting sqref="C5:C16 C18:C30 C32:C33 C37:C46">
    <cfRule type="expression" dxfId="228" priority="3">
      <formula>TODAY()-C5&gt;365</formula>
    </cfRule>
    <cfRule type="expression" dxfId="227" priority="13">
      <formula>AND(TODAY()-C5&gt;304, TODAY()-C5&lt;=365)</formula>
    </cfRule>
    <cfRule type="expression" dxfId="226" priority="14">
      <formula>TODAY()-C5&lt;=304</formula>
    </cfRule>
  </conditionalFormatting>
  <conditionalFormatting sqref="C17">
    <cfRule type="expression" dxfId="225" priority="7">
      <formula>TODAY()-C17&lt;=1765</formula>
    </cfRule>
    <cfRule type="expression" dxfId="224" priority="8">
      <formula>AND(TODAY()-C17&gt;1765, TODAY()-C17&lt;=1825)</formula>
    </cfRule>
    <cfRule type="expression" dxfId="223" priority="9">
      <formula>TODAY()-C17&gt;1825</formula>
    </cfRule>
  </conditionalFormatting>
  <conditionalFormatting sqref="C31">
    <cfRule type="expression" dxfId="222" priority="4">
      <formula>TODAY()-C31&lt;=669</formula>
    </cfRule>
    <cfRule type="expression" dxfId="221" priority="5">
      <formula>AND(TODAY()-C31&gt;669, TODAY()-C31&lt;=730)</formula>
    </cfRule>
    <cfRule type="expression" dxfId="220" priority="15">
      <formula>TODAY()-C31&gt;730</formula>
    </cfRule>
  </conditionalFormatting>
  <conditionalFormatting sqref="C35">
    <cfRule type="notContainsBlanks" dxfId="219" priority="1">
      <formula>LEN(TRIM(C35))&gt;0</formula>
    </cfRule>
    <cfRule type="containsBlanks" dxfId="218" priority="2">
      <formula>LEN(TRIM(C35))=0</formula>
    </cfRule>
  </conditionalFormatting>
  <pageMargins left="0.7" right="0.7" top="0.75" bottom="0.75" header="0.3" footer="0.3"/>
  <pageSetup paperSize="9" fitToWidth="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2822F-9AAB-47E0-8779-88EE6AC238BF}">
  <sheetPr>
    <pageSetUpPr fitToPage="1"/>
  </sheetPr>
  <dimension ref="A1:E51"/>
  <sheetViews>
    <sheetView topLeftCell="A6" workbookViewId="0">
      <selection activeCell="C14" sqref="C14"/>
    </sheetView>
  </sheetViews>
  <sheetFormatPr baseColWidth="10" defaultColWidth="11.44140625" defaultRowHeight="14.4" x14ac:dyDescent="0.3"/>
  <cols>
    <col min="1" max="1" width="59.109375" bestFit="1" customWidth="1"/>
    <col min="2" max="2" width="23.33203125" bestFit="1" customWidth="1"/>
    <col min="3" max="3" width="21" customWidth="1"/>
    <col min="4" max="4" width="101.88671875" bestFit="1" customWidth="1"/>
    <col min="5" max="5" width="32" bestFit="1" customWidth="1"/>
  </cols>
  <sheetData>
    <row r="1" spans="1:5" ht="14.4" customHeight="1" x14ac:dyDescent="0.3">
      <c r="A1" s="102" t="s">
        <v>0</v>
      </c>
      <c r="B1" s="103"/>
      <c r="C1" s="106" t="s">
        <v>79</v>
      </c>
      <c r="D1" s="108" t="s">
        <v>144</v>
      </c>
      <c r="E1" s="96" t="s">
        <v>81</v>
      </c>
    </row>
    <row r="2" spans="1:5" ht="15" thickBot="1" x14ac:dyDescent="0.35">
      <c r="A2" s="104"/>
      <c r="B2" s="105"/>
      <c r="C2" s="107"/>
      <c r="D2" s="109"/>
      <c r="E2" s="97"/>
    </row>
    <row r="3" spans="1:5" x14ac:dyDescent="0.3">
      <c r="A3" s="2" t="s">
        <v>24</v>
      </c>
      <c r="B3" s="20" t="s">
        <v>25</v>
      </c>
      <c r="C3" s="42" t="s">
        <v>26</v>
      </c>
      <c r="D3" s="44"/>
      <c r="E3" s="89"/>
    </row>
    <row r="4" spans="1:5" x14ac:dyDescent="0.3">
      <c r="A4" s="6" t="s">
        <v>27</v>
      </c>
      <c r="B4" s="7" t="s">
        <v>28</v>
      </c>
      <c r="C4" s="41" t="s">
        <v>26</v>
      </c>
      <c r="D4" s="25"/>
      <c r="E4" s="90"/>
    </row>
    <row r="5" spans="1:5" x14ac:dyDescent="0.3">
      <c r="A5" s="6" t="s">
        <v>29</v>
      </c>
      <c r="B5" s="7" t="s">
        <v>30</v>
      </c>
      <c r="C5" s="41">
        <v>45988</v>
      </c>
      <c r="D5" s="45"/>
      <c r="E5" s="90"/>
    </row>
    <row r="6" spans="1:5" x14ac:dyDescent="0.3">
      <c r="A6" s="6" t="s">
        <v>31</v>
      </c>
      <c r="B6" s="7" t="s">
        <v>30</v>
      </c>
      <c r="C6" s="41">
        <v>45614</v>
      </c>
      <c r="D6" s="45"/>
      <c r="E6" s="90" t="s">
        <v>145</v>
      </c>
    </row>
    <row r="7" spans="1:5" x14ac:dyDescent="0.3">
      <c r="A7" s="6" t="s">
        <v>32</v>
      </c>
      <c r="B7" s="7" t="s">
        <v>30</v>
      </c>
      <c r="C7" s="41" t="s">
        <v>26</v>
      </c>
      <c r="D7" s="45"/>
      <c r="E7" s="90"/>
    </row>
    <row r="8" spans="1:5" ht="15" customHeight="1" x14ac:dyDescent="0.3">
      <c r="A8" s="110" t="s">
        <v>33</v>
      </c>
      <c r="B8" s="7">
        <v>1</v>
      </c>
      <c r="C8" s="41">
        <v>45923</v>
      </c>
      <c r="D8" s="46"/>
      <c r="E8" s="90"/>
    </row>
    <row r="9" spans="1:5" ht="15" customHeight="1" x14ac:dyDescent="0.3">
      <c r="A9" s="110"/>
      <c r="B9" s="7">
        <v>2</v>
      </c>
      <c r="C9" s="41">
        <v>45680</v>
      </c>
      <c r="D9" s="45"/>
      <c r="E9" s="90"/>
    </row>
    <row r="10" spans="1:5" ht="15" customHeight="1" x14ac:dyDescent="0.3">
      <c r="A10" s="111" t="s">
        <v>34</v>
      </c>
      <c r="B10" s="7">
        <v>1</v>
      </c>
      <c r="C10" s="41">
        <v>45943</v>
      </c>
      <c r="D10" s="46"/>
      <c r="E10" s="90"/>
    </row>
    <row r="11" spans="1:5" ht="15" customHeight="1" x14ac:dyDescent="0.3">
      <c r="A11" s="112"/>
      <c r="B11" s="7">
        <v>2</v>
      </c>
      <c r="C11" s="41"/>
      <c r="D11" s="45"/>
      <c r="E11" s="90"/>
    </row>
    <row r="12" spans="1:5" x14ac:dyDescent="0.3">
      <c r="A12" s="15" t="s">
        <v>35</v>
      </c>
      <c r="B12" s="7" t="s">
        <v>36</v>
      </c>
      <c r="C12" s="41">
        <v>45809</v>
      </c>
      <c r="D12" s="45" t="s">
        <v>131</v>
      </c>
      <c r="E12" s="90"/>
    </row>
    <row r="13" spans="1:5" x14ac:dyDescent="0.3">
      <c r="A13" s="6" t="s">
        <v>37</v>
      </c>
      <c r="B13" s="7" t="s">
        <v>38</v>
      </c>
      <c r="C13" s="41">
        <v>46041</v>
      </c>
      <c r="D13" s="45"/>
      <c r="E13" s="90" t="s">
        <v>109</v>
      </c>
    </row>
    <row r="14" spans="1:5" x14ac:dyDescent="0.3">
      <c r="A14" s="6" t="s">
        <v>39</v>
      </c>
      <c r="B14" s="7" t="s">
        <v>38</v>
      </c>
      <c r="C14" s="41" t="s">
        <v>26</v>
      </c>
      <c r="D14" s="45"/>
      <c r="E14" s="90"/>
    </row>
    <row r="15" spans="1:5" ht="15" customHeight="1" x14ac:dyDescent="0.3">
      <c r="A15" s="110" t="s">
        <v>40</v>
      </c>
      <c r="B15" s="7" t="s">
        <v>30</v>
      </c>
      <c r="C15" s="41" t="s">
        <v>26</v>
      </c>
      <c r="D15" s="45"/>
      <c r="E15" s="90"/>
    </row>
    <row r="16" spans="1:5" ht="15" customHeight="1" x14ac:dyDescent="0.3">
      <c r="A16" s="110"/>
      <c r="B16" s="7" t="s">
        <v>38</v>
      </c>
      <c r="C16" s="41" t="s">
        <v>26</v>
      </c>
      <c r="D16" s="45"/>
      <c r="E16" s="90"/>
    </row>
    <row r="17" spans="1:5" x14ac:dyDescent="0.3">
      <c r="A17" s="6" t="s">
        <v>41</v>
      </c>
      <c r="B17" s="7" t="s">
        <v>28</v>
      </c>
      <c r="C17" s="41" t="s">
        <v>26</v>
      </c>
      <c r="D17" s="25"/>
      <c r="E17" s="90"/>
    </row>
    <row r="18" spans="1:5" ht="15" customHeight="1" x14ac:dyDescent="0.3">
      <c r="A18" s="110" t="s">
        <v>42</v>
      </c>
      <c r="B18" s="7" t="s">
        <v>30</v>
      </c>
      <c r="C18" s="41" t="s">
        <v>26</v>
      </c>
      <c r="D18" s="45"/>
      <c r="E18" s="90"/>
    </row>
    <row r="19" spans="1:5" ht="15" customHeight="1" x14ac:dyDescent="0.3">
      <c r="A19" s="110"/>
      <c r="B19" s="7" t="s">
        <v>38</v>
      </c>
      <c r="C19" s="41" t="s">
        <v>26</v>
      </c>
      <c r="D19" s="45"/>
      <c r="E19" s="90"/>
    </row>
    <row r="20" spans="1:5" x14ac:dyDescent="0.3">
      <c r="A20" s="6" t="s">
        <v>43</v>
      </c>
      <c r="B20" s="7" t="s">
        <v>38</v>
      </c>
      <c r="C20" s="41" t="s">
        <v>26</v>
      </c>
      <c r="D20" s="25"/>
      <c r="E20" s="90"/>
    </row>
    <row r="21" spans="1:5" x14ac:dyDescent="0.3">
      <c r="A21" s="6" t="s">
        <v>44</v>
      </c>
      <c r="B21" s="7" t="s">
        <v>30</v>
      </c>
      <c r="C21" s="41" t="s">
        <v>26</v>
      </c>
      <c r="D21" s="25"/>
      <c r="E21" s="90"/>
    </row>
    <row r="22" spans="1:5" x14ac:dyDescent="0.3">
      <c r="A22" s="6" t="s">
        <v>45</v>
      </c>
      <c r="B22" s="7" t="s">
        <v>38</v>
      </c>
      <c r="C22" s="41" t="s">
        <v>26</v>
      </c>
      <c r="D22" s="25"/>
      <c r="E22" s="90"/>
    </row>
    <row r="23" spans="1:5" x14ac:dyDescent="0.3">
      <c r="A23" s="6" t="s">
        <v>46</v>
      </c>
      <c r="B23" s="7" t="s">
        <v>38</v>
      </c>
      <c r="C23" s="41" t="s">
        <v>26</v>
      </c>
      <c r="D23" s="25"/>
      <c r="E23" s="90"/>
    </row>
    <row r="24" spans="1:5" x14ac:dyDescent="0.3">
      <c r="A24" s="6" t="s">
        <v>47</v>
      </c>
      <c r="B24" s="7" t="s">
        <v>48</v>
      </c>
      <c r="C24" s="41">
        <v>1</v>
      </c>
      <c r="D24" s="25" t="s">
        <v>146</v>
      </c>
      <c r="E24" s="90"/>
    </row>
    <row r="25" spans="1:5" x14ac:dyDescent="0.3">
      <c r="A25" s="6" t="s">
        <v>49</v>
      </c>
      <c r="B25" s="7" t="s">
        <v>38</v>
      </c>
      <c r="C25" s="41" t="s">
        <v>26</v>
      </c>
      <c r="D25" s="25"/>
      <c r="E25" s="90"/>
    </row>
    <row r="26" spans="1:5" x14ac:dyDescent="0.3">
      <c r="A26" s="6" t="s">
        <v>50</v>
      </c>
      <c r="B26" s="7" t="s">
        <v>38</v>
      </c>
      <c r="C26" s="41" t="s">
        <v>26</v>
      </c>
      <c r="D26" s="25"/>
      <c r="E26" s="90"/>
    </row>
    <row r="27" spans="1:5" ht="15" customHeight="1" x14ac:dyDescent="0.3">
      <c r="A27" s="110" t="s">
        <v>51</v>
      </c>
      <c r="B27" s="7" t="s">
        <v>30</v>
      </c>
      <c r="C27" s="41" t="s">
        <v>26</v>
      </c>
      <c r="D27" s="25"/>
      <c r="E27" s="90"/>
    </row>
    <row r="28" spans="1:5" ht="15" customHeight="1" x14ac:dyDescent="0.3">
      <c r="A28" s="110"/>
      <c r="B28" s="7" t="s">
        <v>38</v>
      </c>
      <c r="C28" s="41" t="s">
        <v>26</v>
      </c>
      <c r="D28" s="25"/>
      <c r="E28" s="90"/>
    </row>
    <row r="29" spans="1:5" x14ac:dyDescent="0.3">
      <c r="A29" s="6" t="s">
        <v>52</v>
      </c>
      <c r="B29" s="7"/>
      <c r="C29" s="41"/>
      <c r="D29" s="45" t="s">
        <v>115</v>
      </c>
      <c r="E29" s="90"/>
    </row>
    <row r="30" spans="1:5" x14ac:dyDescent="0.3">
      <c r="A30" s="6" t="s">
        <v>53</v>
      </c>
      <c r="B30" s="7"/>
      <c r="C30" s="41"/>
      <c r="D30" s="25" t="s">
        <v>115</v>
      </c>
      <c r="E30" s="90" t="s">
        <v>116</v>
      </c>
    </row>
    <row r="31" spans="1:5" x14ac:dyDescent="0.3">
      <c r="A31" s="6" t="s">
        <v>54</v>
      </c>
      <c r="B31" s="7" t="s">
        <v>55</v>
      </c>
      <c r="C31" s="41">
        <v>1</v>
      </c>
      <c r="D31" s="25" t="s">
        <v>147</v>
      </c>
      <c r="E31" s="90"/>
    </row>
    <row r="32" spans="1:5" x14ac:dyDescent="0.3">
      <c r="A32" s="6" t="s">
        <v>56</v>
      </c>
      <c r="B32" s="7" t="s">
        <v>55</v>
      </c>
      <c r="C32" s="41">
        <v>43556</v>
      </c>
      <c r="D32" s="25" t="s">
        <v>148</v>
      </c>
      <c r="E32" s="90"/>
    </row>
    <row r="33" spans="1:5" x14ac:dyDescent="0.3">
      <c r="A33" s="6" t="s">
        <v>57</v>
      </c>
      <c r="B33" s="7" t="s">
        <v>55</v>
      </c>
      <c r="C33" s="41">
        <v>1</v>
      </c>
      <c r="D33" s="25" t="s">
        <v>141</v>
      </c>
      <c r="E33" s="90"/>
    </row>
    <row r="34" spans="1:5" x14ac:dyDescent="0.3">
      <c r="A34" s="6" t="s">
        <v>58</v>
      </c>
      <c r="B34" s="7" t="s">
        <v>55</v>
      </c>
      <c r="C34" s="41">
        <v>45771</v>
      </c>
      <c r="D34" s="25"/>
      <c r="E34" s="90"/>
    </row>
    <row r="35" spans="1:5" x14ac:dyDescent="0.3">
      <c r="A35" s="6" t="s">
        <v>59</v>
      </c>
      <c r="B35" s="7"/>
      <c r="C35" s="41"/>
      <c r="D35" s="25"/>
      <c r="E35" s="90"/>
    </row>
    <row r="36" spans="1:5" x14ac:dyDescent="0.3">
      <c r="A36" s="6" t="s">
        <v>60</v>
      </c>
      <c r="B36" s="7" t="s">
        <v>61</v>
      </c>
      <c r="C36" s="41"/>
      <c r="D36" s="25" t="s">
        <v>149</v>
      </c>
      <c r="E36" s="90"/>
    </row>
    <row r="37" spans="1:5" x14ac:dyDescent="0.3">
      <c r="A37" s="6" t="s">
        <v>62</v>
      </c>
      <c r="B37" s="7"/>
      <c r="C37" s="41"/>
      <c r="D37" s="25" t="s">
        <v>122</v>
      </c>
      <c r="E37" s="90"/>
    </row>
    <row r="38" spans="1:5" x14ac:dyDescent="0.3">
      <c r="A38" s="6" t="s">
        <v>63</v>
      </c>
      <c r="B38" s="7"/>
      <c r="C38" s="41"/>
      <c r="D38" s="25" t="s">
        <v>122</v>
      </c>
      <c r="E38" s="90"/>
    </row>
    <row r="39" spans="1:5" x14ac:dyDescent="0.3">
      <c r="A39" s="6" t="s">
        <v>64</v>
      </c>
      <c r="B39" s="7"/>
      <c r="C39" s="41"/>
      <c r="D39" s="25" t="s">
        <v>122</v>
      </c>
      <c r="E39" s="90"/>
    </row>
    <row r="40" spans="1:5" x14ac:dyDescent="0.3">
      <c r="A40" s="6" t="s">
        <v>65</v>
      </c>
      <c r="B40" s="7"/>
      <c r="C40" s="41">
        <v>45636</v>
      </c>
      <c r="D40" s="25" t="s">
        <v>150</v>
      </c>
      <c r="E40" s="90"/>
    </row>
    <row r="41" spans="1:5" x14ac:dyDescent="0.3">
      <c r="A41" s="6" t="s">
        <v>66</v>
      </c>
      <c r="B41" s="7"/>
      <c r="C41" s="41" t="s">
        <v>26</v>
      </c>
      <c r="D41" s="25"/>
      <c r="E41" s="90"/>
    </row>
    <row r="42" spans="1:5" x14ac:dyDescent="0.3">
      <c r="A42" s="6" t="s">
        <v>67</v>
      </c>
      <c r="B42" s="7"/>
      <c r="C42" s="41"/>
      <c r="D42" s="25" t="s">
        <v>148</v>
      </c>
      <c r="E42" s="90"/>
    </row>
    <row r="43" spans="1:5" x14ac:dyDescent="0.3">
      <c r="A43" s="6" t="s">
        <v>68</v>
      </c>
      <c r="B43" s="7" t="s">
        <v>69</v>
      </c>
      <c r="C43" s="41"/>
      <c r="D43" s="25" t="s">
        <v>151</v>
      </c>
      <c r="E43" s="90"/>
    </row>
    <row r="44" spans="1:5" x14ac:dyDescent="0.3">
      <c r="A44" s="6" t="s">
        <v>70</v>
      </c>
      <c r="B44" s="7" t="s">
        <v>69</v>
      </c>
      <c r="C44" s="41"/>
      <c r="D44" s="25" t="s">
        <v>151</v>
      </c>
      <c r="E44" s="90"/>
    </row>
    <row r="45" spans="1:5" x14ac:dyDescent="0.3">
      <c r="A45" s="6" t="s">
        <v>71</v>
      </c>
      <c r="B45" s="7" t="s">
        <v>72</v>
      </c>
      <c r="C45" s="41"/>
      <c r="D45" s="45" t="s">
        <v>98</v>
      </c>
      <c r="E45" s="90"/>
    </row>
    <row r="46" spans="1:5" ht="15" thickBot="1" x14ac:dyDescent="0.35">
      <c r="A46" s="3" t="s">
        <v>71</v>
      </c>
      <c r="B46" s="5" t="s">
        <v>73</v>
      </c>
      <c r="C46" s="43"/>
      <c r="D46" s="26"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gU2iXRhiTp7C0bnqoCPMt/jpUdh1WNVvbWysXrc04ZKHlBqIMRuH4JlYqrR30cKNy21+nuLAOzQ39DC7524D+Q==" saltValue="tfttXo1JNcrkTW3np9mVFQ=="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217" priority="10">
      <formula>TODAY()-C3&gt;1095</formula>
    </cfRule>
    <cfRule type="expression" dxfId="216" priority="11">
      <formula>TODAY()-C3&lt;=1035</formula>
    </cfRule>
    <cfRule type="expression" dxfId="215" priority="12">
      <formula>AND(TODAY()-C3&gt;1035, TODAY()-C3&lt;=1095)</formula>
    </cfRule>
  </conditionalFormatting>
  <conditionalFormatting sqref="C5:C16 C18:C30 C32:C33 C37:C46">
    <cfRule type="expression" dxfId="214" priority="3">
      <formula>TODAY()-C5&gt;365</formula>
    </cfRule>
    <cfRule type="expression" dxfId="213" priority="13">
      <formula>AND(TODAY()-C5&gt;304, TODAY()-C5&lt;=365)</formula>
    </cfRule>
    <cfRule type="expression" dxfId="212" priority="14">
      <formula>TODAY()-C5&lt;=304</formula>
    </cfRule>
  </conditionalFormatting>
  <conditionalFormatting sqref="C17">
    <cfRule type="expression" dxfId="211" priority="7">
      <formula>TODAY()-C17&lt;=1765</formula>
    </cfRule>
    <cfRule type="expression" dxfId="210" priority="8">
      <formula>AND(TODAY()-C17&gt;1765, TODAY()-C17&lt;=1825)</formula>
    </cfRule>
    <cfRule type="expression" dxfId="209" priority="9">
      <formula>TODAY()-C17&gt;1825</formula>
    </cfRule>
  </conditionalFormatting>
  <conditionalFormatting sqref="C31">
    <cfRule type="expression" dxfId="208" priority="4">
      <formula>TODAY()-C31&lt;=669</formula>
    </cfRule>
    <cfRule type="expression" dxfId="207" priority="5">
      <formula>AND(TODAY()-C31&gt;669, TODAY()-C31&lt;=730)</formula>
    </cfRule>
    <cfRule type="expression" dxfId="206" priority="15">
      <formula>TODAY()-C31&gt;730</formula>
    </cfRule>
  </conditionalFormatting>
  <conditionalFormatting sqref="C35">
    <cfRule type="notContainsBlanks" dxfId="205" priority="1">
      <formula>LEN(TRIM(C35))&gt;0</formula>
    </cfRule>
    <cfRule type="containsBlanks" dxfId="204" priority="2">
      <formula>LEN(TRIM(C35))=0</formula>
    </cfRule>
  </conditionalFormatting>
  <pageMargins left="0.7" right="0.7" top="0.75" bottom="0.75" header="0.3" footer="0.3"/>
  <pageSetup paperSize="9" fitToWidth="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5BFA-00FC-4632-9430-5544E876EFCF}">
  <sheetPr>
    <pageSetUpPr fitToPage="1"/>
  </sheetPr>
  <dimension ref="A1:E51"/>
  <sheetViews>
    <sheetView zoomScale="70" zoomScaleNormal="70" workbookViewId="0">
      <selection activeCell="C12" sqref="C12"/>
    </sheetView>
  </sheetViews>
  <sheetFormatPr baseColWidth="10" defaultColWidth="11.44140625" defaultRowHeight="14.4" x14ac:dyDescent="0.3"/>
  <cols>
    <col min="1" max="1" width="59.109375" bestFit="1" customWidth="1"/>
    <col min="2" max="2" width="23.33203125" bestFit="1" customWidth="1"/>
    <col min="3" max="3" width="21" customWidth="1"/>
    <col min="4" max="4" width="135.109375" bestFit="1" customWidth="1"/>
    <col min="5" max="5" width="32" bestFit="1" customWidth="1"/>
  </cols>
  <sheetData>
    <row r="1" spans="1:5" ht="14.4" customHeight="1" x14ac:dyDescent="0.3">
      <c r="A1" s="102" t="s">
        <v>0</v>
      </c>
      <c r="B1" s="103"/>
      <c r="C1" s="106" t="s">
        <v>79</v>
      </c>
      <c r="D1" s="108" t="s">
        <v>152</v>
      </c>
      <c r="E1" s="96" t="s">
        <v>81</v>
      </c>
    </row>
    <row r="2" spans="1:5" ht="15" thickBot="1" x14ac:dyDescent="0.35">
      <c r="A2" s="104"/>
      <c r="B2" s="105"/>
      <c r="C2" s="107"/>
      <c r="D2" s="109"/>
      <c r="E2" s="97"/>
    </row>
    <row r="3" spans="1:5" x14ac:dyDescent="0.3">
      <c r="A3" s="2" t="s">
        <v>24</v>
      </c>
      <c r="B3" s="20" t="s">
        <v>25</v>
      </c>
      <c r="C3" s="42" t="s">
        <v>26</v>
      </c>
      <c r="D3" s="44" t="s">
        <v>153</v>
      </c>
      <c r="E3" s="89"/>
    </row>
    <row r="4" spans="1:5" x14ac:dyDescent="0.3">
      <c r="A4" s="6" t="s">
        <v>27</v>
      </c>
      <c r="B4" s="7" t="s">
        <v>28</v>
      </c>
      <c r="C4" s="41" t="s">
        <v>26</v>
      </c>
      <c r="D4" s="25" t="s">
        <v>154</v>
      </c>
      <c r="E4" s="90"/>
    </row>
    <row r="5" spans="1:5" x14ac:dyDescent="0.3">
      <c r="A5" s="6" t="s">
        <v>29</v>
      </c>
      <c r="B5" s="7" t="s">
        <v>30</v>
      </c>
      <c r="C5" s="41" t="s">
        <v>26</v>
      </c>
      <c r="D5" s="25" t="s">
        <v>154</v>
      </c>
      <c r="E5" s="90"/>
    </row>
    <row r="6" spans="1:5" x14ac:dyDescent="0.3">
      <c r="A6" s="6" t="s">
        <v>31</v>
      </c>
      <c r="B6" s="7" t="s">
        <v>30</v>
      </c>
      <c r="C6" s="41" t="s">
        <v>26</v>
      </c>
      <c r="D6" s="25" t="s">
        <v>154</v>
      </c>
      <c r="E6" s="90"/>
    </row>
    <row r="7" spans="1:5" x14ac:dyDescent="0.3">
      <c r="A7" s="6" t="s">
        <v>32</v>
      </c>
      <c r="B7" s="7" t="s">
        <v>30</v>
      </c>
      <c r="C7" s="41" t="s">
        <v>26</v>
      </c>
      <c r="D7" s="25" t="s">
        <v>154</v>
      </c>
      <c r="E7" s="90"/>
    </row>
    <row r="8" spans="1:5" ht="15" customHeight="1" x14ac:dyDescent="0.3">
      <c r="A8" s="110" t="s">
        <v>33</v>
      </c>
      <c r="B8" s="7">
        <v>1</v>
      </c>
      <c r="C8" s="41">
        <v>45931</v>
      </c>
      <c r="D8" s="59"/>
      <c r="E8" s="90"/>
    </row>
    <row r="9" spans="1:5" ht="15" customHeight="1" x14ac:dyDescent="0.3">
      <c r="A9" s="110"/>
      <c r="B9" s="7">
        <v>2</v>
      </c>
      <c r="C9" s="41">
        <v>46087</v>
      </c>
      <c r="D9" s="45"/>
      <c r="E9" s="90"/>
    </row>
    <row r="10" spans="1:5" ht="15" customHeight="1" x14ac:dyDescent="0.3">
      <c r="A10" s="111" t="s">
        <v>34</v>
      </c>
      <c r="B10" s="7">
        <v>1</v>
      </c>
      <c r="C10" s="41">
        <v>45931</v>
      </c>
      <c r="D10" s="46"/>
      <c r="E10" s="90"/>
    </row>
    <row r="11" spans="1:5" ht="15" customHeight="1" x14ac:dyDescent="0.3">
      <c r="A11" s="112"/>
      <c r="B11" s="7">
        <v>2</v>
      </c>
      <c r="C11" s="41">
        <v>46146</v>
      </c>
      <c r="D11" s="45"/>
      <c r="E11" s="90"/>
    </row>
    <row r="12" spans="1:5" x14ac:dyDescent="0.3">
      <c r="A12" s="15" t="s">
        <v>35</v>
      </c>
      <c r="B12" s="7" t="s">
        <v>36</v>
      </c>
      <c r="C12" s="41">
        <v>45809</v>
      </c>
      <c r="D12" s="45" t="s">
        <v>155</v>
      </c>
      <c r="E12" s="90"/>
    </row>
    <row r="13" spans="1:5" x14ac:dyDescent="0.3">
      <c r="A13" s="6" t="s">
        <v>37</v>
      </c>
      <c r="B13" s="7" t="s">
        <v>38</v>
      </c>
      <c r="C13" s="41">
        <v>45757</v>
      </c>
      <c r="D13" s="45" t="s">
        <v>111</v>
      </c>
      <c r="E13" s="90"/>
    </row>
    <row r="14" spans="1:5" x14ac:dyDescent="0.3">
      <c r="A14" s="6" t="s">
        <v>39</v>
      </c>
      <c r="B14" s="7" t="s">
        <v>38</v>
      </c>
      <c r="C14" s="41" t="s">
        <v>26</v>
      </c>
      <c r="D14" s="25" t="s">
        <v>154</v>
      </c>
      <c r="E14" s="90"/>
    </row>
    <row r="15" spans="1:5" ht="15" customHeight="1" x14ac:dyDescent="0.3">
      <c r="A15" s="110" t="s">
        <v>40</v>
      </c>
      <c r="B15" s="7" t="s">
        <v>30</v>
      </c>
      <c r="C15" s="41" t="s">
        <v>26</v>
      </c>
      <c r="D15" s="45"/>
      <c r="E15" s="90"/>
    </row>
    <row r="16" spans="1:5" ht="15" customHeight="1" x14ac:dyDescent="0.3">
      <c r="A16" s="110"/>
      <c r="B16" s="7" t="s">
        <v>38</v>
      </c>
      <c r="C16" s="41" t="s">
        <v>26</v>
      </c>
      <c r="D16" s="45"/>
      <c r="E16" s="90"/>
    </row>
    <row r="17" spans="1:5" x14ac:dyDescent="0.3">
      <c r="A17" s="6" t="s">
        <v>41</v>
      </c>
      <c r="B17" s="7" t="s">
        <v>28</v>
      </c>
      <c r="C17" s="41" t="s">
        <v>26</v>
      </c>
      <c r="D17" s="25"/>
      <c r="E17" s="90"/>
    </row>
    <row r="18" spans="1:5" ht="15" customHeight="1" x14ac:dyDescent="0.3">
      <c r="A18" s="110" t="s">
        <v>42</v>
      </c>
      <c r="B18" s="7" t="s">
        <v>30</v>
      </c>
      <c r="C18" s="41" t="s">
        <v>26</v>
      </c>
      <c r="D18" s="45"/>
      <c r="E18" s="90"/>
    </row>
    <row r="19" spans="1:5" ht="15" customHeight="1" x14ac:dyDescent="0.3">
      <c r="A19" s="110"/>
      <c r="B19" s="7" t="s">
        <v>38</v>
      </c>
      <c r="C19" s="41" t="s">
        <v>26</v>
      </c>
      <c r="D19" s="45"/>
      <c r="E19" s="90"/>
    </row>
    <row r="20" spans="1:5" x14ac:dyDescent="0.3">
      <c r="A20" s="6" t="s">
        <v>43</v>
      </c>
      <c r="B20" s="7" t="s">
        <v>38</v>
      </c>
      <c r="C20" s="41" t="s">
        <v>26</v>
      </c>
      <c r="D20" s="25"/>
      <c r="E20" s="90"/>
    </row>
    <row r="21" spans="1:5" x14ac:dyDescent="0.3">
      <c r="A21" s="6" t="s">
        <v>44</v>
      </c>
      <c r="B21" s="7" t="s">
        <v>30</v>
      </c>
      <c r="C21" s="41" t="s">
        <v>26</v>
      </c>
      <c r="D21" s="25"/>
      <c r="E21" s="90"/>
    </row>
    <row r="22" spans="1:5" x14ac:dyDescent="0.3">
      <c r="A22" s="6" t="s">
        <v>45</v>
      </c>
      <c r="B22" s="7" t="s">
        <v>38</v>
      </c>
      <c r="C22" s="41" t="s">
        <v>26</v>
      </c>
      <c r="D22" s="25"/>
      <c r="E22" s="90"/>
    </row>
    <row r="23" spans="1:5" x14ac:dyDescent="0.3">
      <c r="A23" s="6" t="s">
        <v>46</v>
      </c>
      <c r="B23" s="7" t="s">
        <v>38</v>
      </c>
      <c r="C23" s="41" t="s">
        <v>26</v>
      </c>
      <c r="D23" s="25"/>
      <c r="E23" s="90"/>
    </row>
    <row r="24" spans="1:5" x14ac:dyDescent="0.3">
      <c r="A24" s="6" t="s">
        <v>47</v>
      </c>
      <c r="B24" s="7" t="s">
        <v>48</v>
      </c>
      <c r="C24" s="41" t="s">
        <v>26</v>
      </c>
      <c r="D24" s="25"/>
      <c r="E24" s="90"/>
    </row>
    <row r="25" spans="1:5" x14ac:dyDescent="0.3">
      <c r="A25" s="6" t="s">
        <v>49</v>
      </c>
      <c r="B25" s="7" t="s">
        <v>38</v>
      </c>
      <c r="C25" s="41" t="s">
        <v>26</v>
      </c>
      <c r="D25" s="25"/>
      <c r="E25" s="90"/>
    </row>
    <row r="26" spans="1:5" x14ac:dyDescent="0.3">
      <c r="A26" s="6" t="s">
        <v>50</v>
      </c>
      <c r="B26" s="7" t="s">
        <v>38</v>
      </c>
      <c r="C26" s="41" t="s">
        <v>26</v>
      </c>
      <c r="D26" s="25"/>
      <c r="E26" s="90"/>
    </row>
    <row r="27" spans="1:5" ht="15" customHeight="1" x14ac:dyDescent="0.3">
      <c r="A27" s="110" t="s">
        <v>51</v>
      </c>
      <c r="B27" s="7" t="s">
        <v>30</v>
      </c>
      <c r="C27" s="41" t="s">
        <v>26</v>
      </c>
      <c r="D27" s="25"/>
      <c r="E27" s="90"/>
    </row>
    <row r="28" spans="1:5" ht="15" customHeight="1" x14ac:dyDescent="0.3">
      <c r="A28" s="110"/>
      <c r="B28" s="7" t="s">
        <v>38</v>
      </c>
      <c r="C28" s="41" t="s">
        <v>26</v>
      </c>
      <c r="D28" s="25"/>
      <c r="E28" s="90"/>
    </row>
    <row r="29" spans="1:5" x14ac:dyDescent="0.3">
      <c r="A29" s="6" t="s">
        <v>52</v>
      </c>
      <c r="B29" s="7"/>
      <c r="C29" s="41" t="s">
        <v>26</v>
      </c>
      <c r="D29" s="25" t="s">
        <v>154</v>
      </c>
      <c r="E29" s="90"/>
    </row>
    <row r="30" spans="1:5" x14ac:dyDescent="0.3">
      <c r="A30" s="6" t="s">
        <v>53</v>
      </c>
      <c r="B30" s="7"/>
      <c r="C30" s="41" t="s">
        <v>26</v>
      </c>
      <c r="D30" s="25" t="s">
        <v>154</v>
      </c>
      <c r="E30" s="90"/>
    </row>
    <row r="31" spans="1:5" x14ac:dyDescent="0.3">
      <c r="A31" s="6" t="s">
        <v>54</v>
      </c>
      <c r="B31" s="7" t="s">
        <v>55</v>
      </c>
      <c r="C31" s="41"/>
      <c r="D31" s="94" t="s">
        <v>156</v>
      </c>
      <c r="E31" s="90"/>
    </row>
    <row r="32" spans="1:5" x14ac:dyDescent="0.3">
      <c r="A32" s="6" t="s">
        <v>56</v>
      </c>
      <c r="B32" s="7" t="s">
        <v>55</v>
      </c>
      <c r="C32" s="41">
        <v>43556</v>
      </c>
      <c r="D32" s="25" t="s">
        <v>157</v>
      </c>
      <c r="E32" s="90"/>
    </row>
    <row r="33" spans="1:5" x14ac:dyDescent="0.3">
      <c r="A33" s="6" t="s">
        <v>57</v>
      </c>
      <c r="B33" s="7" t="s">
        <v>55</v>
      </c>
      <c r="C33" s="41">
        <v>45931</v>
      </c>
      <c r="D33" s="25" t="s">
        <v>158</v>
      </c>
      <c r="E33" s="90"/>
    </row>
    <row r="34" spans="1:5" x14ac:dyDescent="0.3">
      <c r="A34" s="6" t="s">
        <v>58</v>
      </c>
      <c r="B34" s="7" t="s">
        <v>55</v>
      </c>
      <c r="C34" s="41">
        <v>45771</v>
      </c>
      <c r="D34" s="25"/>
      <c r="E34" s="90"/>
    </row>
    <row r="35" spans="1:5" x14ac:dyDescent="0.3">
      <c r="A35" s="6" t="s">
        <v>59</v>
      </c>
      <c r="B35" s="7"/>
      <c r="C35" s="41" t="s">
        <v>78</v>
      </c>
      <c r="D35" s="25"/>
      <c r="E35" s="90"/>
    </row>
    <row r="36" spans="1:5" x14ac:dyDescent="0.3">
      <c r="A36" s="6" t="s">
        <v>60</v>
      </c>
      <c r="B36" s="7" t="s">
        <v>61</v>
      </c>
      <c r="C36" s="41" t="s">
        <v>26</v>
      </c>
      <c r="D36" s="25"/>
      <c r="E36" s="90"/>
    </row>
    <row r="37" spans="1:5" x14ac:dyDescent="0.3">
      <c r="A37" s="6" t="s">
        <v>62</v>
      </c>
      <c r="B37" s="7"/>
      <c r="C37" s="41" t="s">
        <v>26</v>
      </c>
      <c r="D37" s="25"/>
      <c r="E37" s="90"/>
    </row>
    <row r="38" spans="1:5" x14ac:dyDescent="0.3">
      <c r="A38" s="6" t="s">
        <v>63</v>
      </c>
      <c r="B38" s="7"/>
      <c r="C38" s="41" t="s">
        <v>26</v>
      </c>
      <c r="D38" s="25"/>
      <c r="E38" s="90"/>
    </row>
    <row r="39" spans="1:5" x14ac:dyDescent="0.3">
      <c r="A39" s="6" t="s">
        <v>64</v>
      </c>
      <c r="B39" s="7"/>
      <c r="C39" s="41" t="s">
        <v>26</v>
      </c>
      <c r="D39" s="25"/>
      <c r="E39" s="90"/>
    </row>
    <row r="40" spans="1:5" x14ac:dyDescent="0.3">
      <c r="A40" s="6" t="s">
        <v>65</v>
      </c>
      <c r="B40" s="7"/>
      <c r="C40" s="41" t="s">
        <v>26</v>
      </c>
      <c r="D40" s="25" t="s">
        <v>159</v>
      </c>
      <c r="E40" s="90"/>
    </row>
    <row r="41" spans="1:5" x14ac:dyDescent="0.3">
      <c r="A41" s="6" t="s">
        <v>66</v>
      </c>
      <c r="B41" s="7"/>
      <c r="C41" s="41" t="s">
        <v>26</v>
      </c>
      <c r="D41" s="25"/>
      <c r="E41" s="90"/>
    </row>
    <row r="42" spans="1:5" x14ac:dyDescent="0.3">
      <c r="A42" s="6" t="s">
        <v>67</v>
      </c>
      <c r="B42" s="7"/>
      <c r="C42" s="41" t="s">
        <v>26</v>
      </c>
      <c r="D42" s="25"/>
      <c r="E42" s="90"/>
    </row>
    <row r="43" spans="1:5" x14ac:dyDescent="0.3">
      <c r="A43" s="6" t="s">
        <v>68</v>
      </c>
      <c r="B43" s="7" t="s">
        <v>69</v>
      </c>
      <c r="C43" s="41">
        <v>44136</v>
      </c>
      <c r="D43" s="25" t="s">
        <v>160</v>
      </c>
      <c r="E43" s="90"/>
    </row>
    <row r="44" spans="1:5" x14ac:dyDescent="0.3">
      <c r="A44" s="6" t="s">
        <v>70</v>
      </c>
      <c r="B44" s="7" t="s">
        <v>69</v>
      </c>
      <c r="C44" s="41"/>
      <c r="D44" s="25"/>
      <c r="E44" s="90"/>
    </row>
    <row r="45" spans="1:5" x14ac:dyDescent="0.3">
      <c r="A45" s="6" t="s">
        <v>71</v>
      </c>
      <c r="B45" s="7" t="s">
        <v>72</v>
      </c>
      <c r="C45" s="41"/>
      <c r="D45" s="45" t="s">
        <v>98</v>
      </c>
      <c r="E45" s="90"/>
    </row>
    <row r="46" spans="1:5" ht="15" thickBot="1" x14ac:dyDescent="0.35">
      <c r="A46" s="3" t="s">
        <v>71</v>
      </c>
      <c r="B46" s="5" t="s">
        <v>73</v>
      </c>
      <c r="C46" s="43"/>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tuYgbDg4HpWbcTkPz+xbeiGeqIk7mw40d6CE2qUCopZygS5k1SJesM/3lM3Ez7xdHW0SsDs6B3S/I9ZyGhdgw==" saltValue="hCaN2MxtfuNDos4cFbaS/w=="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203" priority="13">
      <formula>TODAY()-C3&gt;1095</formula>
    </cfRule>
    <cfRule type="expression" dxfId="202" priority="14">
      <formula>TODAY()-C3&lt;=1035</formula>
    </cfRule>
    <cfRule type="expression" dxfId="201" priority="15">
      <formula>AND(TODAY()-C3&gt;1035, TODAY()-C3&lt;=1095)</formula>
    </cfRule>
  </conditionalFormatting>
  <conditionalFormatting sqref="C5:C13 C15:C16 C18:C30 C32:C33 C37:C46">
    <cfRule type="expression" dxfId="200" priority="6">
      <formula>TODAY()-C5&gt;365</formula>
    </cfRule>
    <cfRule type="expression" dxfId="199" priority="16">
      <formula>AND(TODAY()-C5&gt;304, TODAY()-C5&lt;=365)</formula>
    </cfRule>
    <cfRule type="expression" dxfId="198" priority="17">
      <formula>TODAY()-C5&lt;=304</formula>
    </cfRule>
  </conditionalFormatting>
  <conditionalFormatting sqref="C14">
    <cfRule type="expression" dxfId="197" priority="1">
      <formula>TODAY()-C14&lt;=30</formula>
    </cfRule>
    <cfRule type="expression" dxfId="196" priority="3">
      <formula>TODAY()-C14&gt;30</formula>
    </cfRule>
  </conditionalFormatting>
  <conditionalFormatting sqref="C17">
    <cfRule type="expression" dxfId="195" priority="10">
      <formula>TODAY()-C17&lt;=1765</formula>
    </cfRule>
    <cfRule type="expression" dxfId="194" priority="11">
      <formula>AND(TODAY()-C17&gt;1765, TODAY()-C17&lt;=1825)</formula>
    </cfRule>
    <cfRule type="expression" dxfId="193" priority="12">
      <formula>TODAY()-C17&gt;1825</formula>
    </cfRule>
  </conditionalFormatting>
  <conditionalFormatting sqref="C31">
    <cfRule type="expression" dxfId="192" priority="7">
      <formula>TODAY()-C31&lt;=669</formula>
    </cfRule>
    <cfRule type="expression" dxfId="191" priority="8">
      <formula>AND(TODAY()-C31&gt;669, TODAY()-C31&lt;=730)</formula>
    </cfRule>
    <cfRule type="expression" dxfId="190" priority="18">
      <formula>TODAY()-C31&gt;730</formula>
    </cfRule>
  </conditionalFormatting>
  <conditionalFormatting sqref="C35">
    <cfRule type="notContainsBlanks" dxfId="189" priority="4">
      <formula>LEN(TRIM(C35))&gt;0</formula>
    </cfRule>
    <cfRule type="containsBlanks" dxfId="188" priority="5">
      <formula>LEN(TRIM(C35))=0</formula>
    </cfRule>
  </conditionalFormatting>
  <pageMargins left="0.7" right="0.7" top="0.75" bottom="0.75" header="0.3" footer="0.3"/>
  <pageSetup paperSize="9" fitToWidth="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6F25B-4DDB-46D5-B6F0-A622484F0C76}">
  <sheetPr>
    <pageSetUpPr fitToPage="1"/>
  </sheetPr>
  <dimension ref="A1:E51"/>
  <sheetViews>
    <sheetView zoomScale="60" zoomScaleNormal="60" workbookViewId="0">
      <selection activeCell="D13" sqref="D13"/>
    </sheetView>
  </sheetViews>
  <sheetFormatPr baseColWidth="10" defaultColWidth="11.44140625" defaultRowHeight="14.4" x14ac:dyDescent="0.3"/>
  <cols>
    <col min="1" max="1" width="59.109375" bestFit="1" customWidth="1"/>
    <col min="2" max="2" width="23.33203125" bestFit="1" customWidth="1"/>
    <col min="3" max="3" width="21" customWidth="1"/>
    <col min="4" max="4" width="160.33203125" bestFit="1" customWidth="1"/>
    <col min="5" max="5" width="175.6640625" bestFit="1" customWidth="1"/>
  </cols>
  <sheetData>
    <row r="1" spans="1:5" ht="15" customHeight="1" x14ac:dyDescent="0.3">
      <c r="A1" s="102" t="s">
        <v>0</v>
      </c>
      <c r="B1" s="103"/>
      <c r="C1" s="106" t="s">
        <v>79</v>
      </c>
      <c r="D1" s="108" t="s">
        <v>161</v>
      </c>
      <c r="E1" s="96" t="s">
        <v>81</v>
      </c>
    </row>
    <row r="2" spans="1:5" ht="15" thickBot="1" x14ac:dyDescent="0.35">
      <c r="A2" s="104"/>
      <c r="B2" s="105"/>
      <c r="C2" s="107"/>
      <c r="D2" s="109"/>
      <c r="E2" s="97"/>
    </row>
    <row r="3" spans="1:5" x14ac:dyDescent="0.3">
      <c r="A3" s="2" t="s">
        <v>162</v>
      </c>
      <c r="B3" s="20" t="s">
        <v>25</v>
      </c>
      <c r="C3" s="42" t="s">
        <v>26</v>
      </c>
      <c r="D3" s="47">
        <v>44409</v>
      </c>
      <c r="E3" s="89"/>
    </row>
    <row r="4" spans="1:5" x14ac:dyDescent="0.3">
      <c r="A4" s="6" t="s">
        <v>27</v>
      </c>
      <c r="B4" s="7" t="s">
        <v>28</v>
      </c>
      <c r="C4" s="41" t="s">
        <v>26</v>
      </c>
      <c r="D4" s="25"/>
      <c r="E4" s="90"/>
    </row>
    <row r="5" spans="1:5" x14ac:dyDescent="0.3">
      <c r="A5" s="6" t="s">
        <v>29</v>
      </c>
      <c r="B5" s="7" t="s">
        <v>38</v>
      </c>
      <c r="C5" s="41">
        <v>45728</v>
      </c>
      <c r="D5" s="45"/>
      <c r="E5" s="90"/>
    </row>
    <row r="6" spans="1:5" x14ac:dyDescent="0.3">
      <c r="A6" s="6" t="s">
        <v>31</v>
      </c>
      <c r="B6" s="7" t="s">
        <v>30</v>
      </c>
      <c r="C6" s="41">
        <v>45505</v>
      </c>
      <c r="D6" s="45"/>
      <c r="E6" s="90"/>
    </row>
    <row r="7" spans="1:5" x14ac:dyDescent="0.3">
      <c r="A7" s="6" t="s">
        <v>32</v>
      </c>
      <c r="B7" s="7" t="s">
        <v>30</v>
      </c>
      <c r="C7" s="41" t="s">
        <v>26</v>
      </c>
      <c r="D7" s="45"/>
      <c r="E7" s="90"/>
    </row>
    <row r="8" spans="1:5" ht="15" customHeight="1" x14ac:dyDescent="0.3">
      <c r="A8" s="110" t="s">
        <v>33</v>
      </c>
      <c r="B8" s="7">
        <v>1</v>
      </c>
      <c r="C8" s="41">
        <v>45930</v>
      </c>
      <c r="D8" s="46"/>
      <c r="E8" s="90"/>
    </row>
    <row r="9" spans="1:5" ht="15" customHeight="1" x14ac:dyDescent="0.3">
      <c r="A9" s="110"/>
      <c r="B9" s="7">
        <v>2</v>
      </c>
      <c r="C9" s="41">
        <v>45744</v>
      </c>
      <c r="D9" s="45"/>
      <c r="E9" s="90"/>
    </row>
    <row r="10" spans="1:5" ht="15" customHeight="1" x14ac:dyDescent="0.3">
      <c r="A10" s="111" t="s">
        <v>34</v>
      </c>
      <c r="B10" s="7">
        <v>1</v>
      </c>
      <c r="C10" s="41">
        <v>45943</v>
      </c>
      <c r="D10" s="46"/>
      <c r="E10" s="90"/>
    </row>
    <row r="11" spans="1:5" ht="15" customHeight="1" x14ac:dyDescent="0.3">
      <c r="A11" s="112"/>
      <c r="B11" s="7">
        <v>2</v>
      </c>
      <c r="C11" s="41">
        <v>45671</v>
      </c>
      <c r="D11" s="45"/>
      <c r="E11" s="90"/>
    </row>
    <row r="12" spans="1:5" x14ac:dyDescent="0.3">
      <c r="A12" s="15" t="s">
        <v>35</v>
      </c>
      <c r="B12" s="7" t="s">
        <v>36</v>
      </c>
      <c r="C12" s="41">
        <v>45809</v>
      </c>
      <c r="D12" s="45" t="s">
        <v>163</v>
      </c>
      <c r="E12" s="90"/>
    </row>
    <row r="13" spans="1:5" x14ac:dyDescent="0.3">
      <c r="A13" s="6" t="s">
        <v>37</v>
      </c>
      <c r="B13" s="7" t="s">
        <v>38</v>
      </c>
      <c r="C13" s="41">
        <v>46077</v>
      </c>
      <c r="D13" s="45"/>
      <c r="E13" s="90"/>
    </row>
    <row r="14" spans="1:5" x14ac:dyDescent="0.3">
      <c r="A14" s="6" t="s">
        <v>39</v>
      </c>
      <c r="B14" s="7" t="s">
        <v>38</v>
      </c>
      <c r="C14" s="41" t="s">
        <v>26</v>
      </c>
      <c r="D14" s="45"/>
      <c r="E14" s="90"/>
    </row>
    <row r="15" spans="1:5" ht="15" customHeight="1" x14ac:dyDescent="0.3">
      <c r="A15" s="110" t="s">
        <v>40</v>
      </c>
      <c r="B15" s="7" t="s">
        <v>30</v>
      </c>
      <c r="C15" s="41" t="s">
        <v>26</v>
      </c>
      <c r="D15" s="45"/>
      <c r="E15" s="90"/>
    </row>
    <row r="16" spans="1:5" ht="15" customHeight="1" x14ac:dyDescent="0.3">
      <c r="A16" s="110"/>
      <c r="B16" s="7" t="s">
        <v>38</v>
      </c>
      <c r="C16" s="41" t="s">
        <v>26</v>
      </c>
      <c r="D16" s="45"/>
      <c r="E16" s="90"/>
    </row>
    <row r="17" spans="1:5" x14ac:dyDescent="0.3">
      <c r="A17" s="6" t="s">
        <v>41</v>
      </c>
      <c r="B17" s="7" t="s">
        <v>28</v>
      </c>
      <c r="C17" s="41" t="s">
        <v>26</v>
      </c>
      <c r="D17" s="25"/>
      <c r="E17" s="90"/>
    </row>
    <row r="18" spans="1:5" ht="15" customHeight="1" x14ac:dyDescent="0.3">
      <c r="A18" s="110" t="s">
        <v>42</v>
      </c>
      <c r="B18" s="7" t="s">
        <v>30</v>
      </c>
      <c r="C18" s="41" t="s">
        <v>26</v>
      </c>
      <c r="D18" s="45"/>
      <c r="E18" s="90"/>
    </row>
    <row r="19" spans="1:5" ht="15" customHeight="1" x14ac:dyDescent="0.3">
      <c r="A19" s="110"/>
      <c r="B19" s="7" t="s">
        <v>38</v>
      </c>
      <c r="C19" s="41" t="s">
        <v>26</v>
      </c>
      <c r="D19" s="45"/>
      <c r="E19" s="90"/>
    </row>
    <row r="20" spans="1:5" x14ac:dyDescent="0.3">
      <c r="A20" s="6" t="s">
        <v>43</v>
      </c>
      <c r="B20" s="7" t="s">
        <v>38</v>
      </c>
      <c r="C20" s="41" t="s">
        <v>26</v>
      </c>
      <c r="D20" s="25"/>
      <c r="E20" s="90"/>
    </row>
    <row r="21" spans="1:5" x14ac:dyDescent="0.3">
      <c r="A21" s="6" t="s">
        <v>44</v>
      </c>
      <c r="B21" s="7" t="s">
        <v>30</v>
      </c>
      <c r="C21" s="41" t="s">
        <v>26</v>
      </c>
      <c r="D21" s="25"/>
      <c r="E21" s="90"/>
    </row>
    <row r="22" spans="1:5" x14ac:dyDescent="0.3">
      <c r="A22" s="6" t="s">
        <v>45</v>
      </c>
      <c r="B22" s="7" t="s">
        <v>38</v>
      </c>
      <c r="C22" s="41">
        <v>45821</v>
      </c>
      <c r="D22" s="25"/>
      <c r="E22" s="90"/>
    </row>
    <row r="23" spans="1:5" x14ac:dyDescent="0.3">
      <c r="A23" s="6" t="s">
        <v>46</v>
      </c>
      <c r="B23" s="7" t="s">
        <v>38</v>
      </c>
      <c r="C23" s="41" t="s">
        <v>26</v>
      </c>
      <c r="D23" s="25"/>
      <c r="E23" s="90"/>
    </row>
    <row r="24" spans="1:5" x14ac:dyDescent="0.3">
      <c r="A24" s="6" t="s">
        <v>47</v>
      </c>
      <c r="B24" s="7" t="s">
        <v>48</v>
      </c>
      <c r="C24" s="41" t="s">
        <v>26</v>
      </c>
      <c r="D24" s="25"/>
      <c r="E24" s="90"/>
    </row>
    <row r="25" spans="1:5" x14ac:dyDescent="0.3">
      <c r="A25" s="6" t="s">
        <v>49</v>
      </c>
      <c r="B25" s="7" t="s">
        <v>38</v>
      </c>
      <c r="C25" s="41" t="s">
        <v>26</v>
      </c>
      <c r="D25" s="25" t="s">
        <v>164</v>
      </c>
      <c r="E25" s="90"/>
    </row>
    <row r="26" spans="1:5" x14ac:dyDescent="0.3">
      <c r="A26" s="6" t="s">
        <v>50</v>
      </c>
      <c r="B26" s="7" t="s">
        <v>38</v>
      </c>
      <c r="C26" s="41" t="s">
        <v>26</v>
      </c>
      <c r="D26" s="25"/>
      <c r="E26" s="90"/>
    </row>
    <row r="27" spans="1:5" ht="15" customHeight="1" x14ac:dyDescent="0.3">
      <c r="A27" s="110" t="s">
        <v>51</v>
      </c>
      <c r="B27" s="7" t="s">
        <v>30</v>
      </c>
      <c r="C27" s="41"/>
      <c r="D27" s="25" t="s">
        <v>165</v>
      </c>
      <c r="E27" s="90" t="s">
        <v>166</v>
      </c>
    </row>
    <row r="28" spans="1:5" ht="15" customHeight="1" x14ac:dyDescent="0.3">
      <c r="A28" s="110"/>
      <c r="B28" s="7" t="s">
        <v>38</v>
      </c>
      <c r="C28" s="41"/>
      <c r="D28" t="s">
        <v>167</v>
      </c>
      <c r="E28" s="90"/>
    </row>
    <row r="29" spans="1:5" x14ac:dyDescent="0.3">
      <c r="A29" s="6" t="s">
        <v>52</v>
      </c>
      <c r="B29" s="7"/>
      <c r="C29" s="41">
        <v>45812</v>
      </c>
      <c r="D29" s="25" t="s">
        <v>168</v>
      </c>
      <c r="E29" s="90"/>
    </row>
    <row r="30" spans="1:5" x14ac:dyDescent="0.3">
      <c r="A30" s="6" t="s">
        <v>53</v>
      </c>
      <c r="B30" s="7"/>
      <c r="C30" s="41">
        <v>45804</v>
      </c>
      <c r="D30" s="25"/>
      <c r="E30" s="90"/>
    </row>
    <row r="31" spans="1:5" x14ac:dyDescent="0.3">
      <c r="A31" s="6" t="s">
        <v>54</v>
      </c>
      <c r="B31" s="7" t="s">
        <v>55</v>
      </c>
      <c r="C31" s="41">
        <v>45964</v>
      </c>
      <c r="D31" s="25"/>
      <c r="E31" s="90"/>
    </row>
    <row r="32" spans="1:5" x14ac:dyDescent="0.3">
      <c r="A32" s="6" t="s">
        <v>56</v>
      </c>
      <c r="B32" s="7" t="s">
        <v>55</v>
      </c>
      <c r="C32" s="41">
        <v>45751</v>
      </c>
      <c r="D32" s="25"/>
      <c r="E32" s="90"/>
    </row>
    <row r="33" spans="1:5" x14ac:dyDescent="0.3">
      <c r="A33" s="6" t="s">
        <v>57</v>
      </c>
      <c r="B33" s="7" t="s">
        <v>55</v>
      </c>
      <c r="C33" s="41">
        <v>45960</v>
      </c>
      <c r="D33" s="25"/>
      <c r="E33" s="90"/>
    </row>
    <row r="34" spans="1:5" x14ac:dyDescent="0.3">
      <c r="A34" s="6" t="s">
        <v>58</v>
      </c>
      <c r="B34" s="7" t="s">
        <v>55</v>
      </c>
      <c r="C34" s="41">
        <v>45385</v>
      </c>
      <c r="D34" s="25" t="s">
        <v>169</v>
      </c>
      <c r="E34" s="90"/>
    </row>
    <row r="35" spans="1:5" x14ac:dyDescent="0.3">
      <c r="A35" s="6" t="s">
        <v>170</v>
      </c>
      <c r="B35" s="7"/>
      <c r="C35" s="41">
        <v>45979</v>
      </c>
      <c r="D35" s="25"/>
      <c r="E35" s="90"/>
    </row>
    <row r="36" spans="1:5" x14ac:dyDescent="0.3">
      <c r="A36" s="6" t="s">
        <v>60</v>
      </c>
      <c r="B36" s="7" t="s">
        <v>61</v>
      </c>
      <c r="C36" s="41" t="s">
        <v>26</v>
      </c>
      <c r="D36" s="25" t="s">
        <v>171</v>
      </c>
      <c r="E36" s="90"/>
    </row>
    <row r="37" spans="1:5" x14ac:dyDescent="0.3">
      <c r="A37" s="6" t="s">
        <v>62</v>
      </c>
      <c r="B37" s="7"/>
      <c r="C37" s="41" t="s">
        <v>26</v>
      </c>
      <c r="D37" s="25"/>
      <c r="E37" s="90"/>
    </row>
    <row r="38" spans="1:5" x14ac:dyDescent="0.3">
      <c r="A38" s="6" t="s">
        <v>63</v>
      </c>
      <c r="B38" s="7"/>
      <c r="C38" s="41"/>
      <c r="D38" s="25" t="s">
        <v>172</v>
      </c>
      <c r="E38" s="90"/>
    </row>
    <row r="39" spans="1:5" x14ac:dyDescent="0.3">
      <c r="A39" s="6" t="s">
        <v>64</v>
      </c>
      <c r="B39" s="7"/>
      <c r="C39" s="41"/>
      <c r="D39" s="25" t="s">
        <v>172</v>
      </c>
      <c r="E39" s="90"/>
    </row>
    <row r="40" spans="1:5" x14ac:dyDescent="0.3">
      <c r="A40" s="6" t="s">
        <v>65</v>
      </c>
      <c r="B40" s="7"/>
      <c r="C40" s="41">
        <v>45812</v>
      </c>
      <c r="D40" s="25"/>
      <c r="E40" s="90"/>
    </row>
    <row r="41" spans="1:5" x14ac:dyDescent="0.3">
      <c r="A41" s="6" t="s">
        <v>66</v>
      </c>
      <c r="B41" s="7"/>
      <c r="C41" s="41" t="s">
        <v>26</v>
      </c>
      <c r="D41" s="25"/>
      <c r="E41" s="90"/>
    </row>
    <row r="42" spans="1:5" x14ac:dyDescent="0.3">
      <c r="A42" s="6" t="s">
        <v>67</v>
      </c>
      <c r="B42" s="7"/>
      <c r="C42" s="41">
        <v>45804</v>
      </c>
      <c r="D42" s="25"/>
      <c r="E42" s="90"/>
    </row>
    <row r="43" spans="1:5" x14ac:dyDescent="0.3">
      <c r="A43" s="6" t="s">
        <v>68</v>
      </c>
      <c r="B43" s="7" t="s">
        <v>69</v>
      </c>
      <c r="C43" s="41">
        <v>45243</v>
      </c>
      <c r="D43" s="25" t="s">
        <v>173</v>
      </c>
      <c r="E43" s="90"/>
    </row>
    <row r="44" spans="1:5" x14ac:dyDescent="0.3">
      <c r="A44" s="6" t="s">
        <v>70</v>
      </c>
      <c r="B44" s="7" t="s">
        <v>69</v>
      </c>
      <c r="C44" s="41">
        <v>45120</v>
      </c>
      <c r="D44" s="25" t="s">
        <v>174</v>
      </c>
      <c r="E44" s="90"/>
    </row>
    <row r="45" spans="1:5" x14ac:dyDescent="0.3">
      <c r="A45" s="6" t="s">
        <v>71</v>
      </c>
      <c r="B45" s="7" t="s">
        <v>72</v>
      </c>
      <c r="C45" s="41"/>
      <c r="D45" s="45" t="s">
        <v>98</v>
      </c>
      <c r="E45" s="90"/>
    </row>
    <row r="46" spans="1:5" ht="15" thickBot="1" x14ac:dyDescent="0.35">
      <c r="A46" s="3" t="s">
        <v>71</v>
      </c>
      <c r="B46" s="5" t="s">
        <v>73</v>
      </c>
      <c r="C46" s="43"/>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YzyjH+/jB1k2jUUAD4mdNkvJb9BGFRD4WGj2kS1wdXdXiWlRFt8DeZySiDmyy/pb8aJa8+d2N3qBxBJh4kyW1g==" saltValue="Gn7F+WzqppI89xzBMKsNNw==" spinCount="100000" sheet="1" objects="1" scenarios="1" selectLockedCells="1"/>
  <mergeCells count="14">
    <mergeCell ref="E1:E2"/>
    <mergeCell ref="C51:D51"/>
    <mergeCell ref="C50:D50"/>
    <mergeCell ref="A1:B2"/>
    <mergeCell ref="A8:A9"/>
    <mergeCell ref="A10:A11"/>
    <mergeCell ref="A15:A16"/>
    <mergeCell ref="A18:A19"/>
    <mergeCell ref="A27:A28"/>
    <mergeCell ref="C1:C2"/>
    <mergeCell ref="D1:D2"/>
    <mergeCell ref="C47:D47"/>
    <mergeCell ref="C48:D48"/>
    <mergeCell ref="C49:D49"/>
  </mergeCells>
  <conditionalFormatting sqref="C3:C4 C34 C36">
    <cfRule type="expression" dxfId="187" priority="10">
      <formula>TODAY()-C3&gt;1095</formula>
    </cfRule>
    <cfRule type="expression" dxfId="186" priority="11">
      <formula>TODAY()-C3&lt;=1035</formula>
    </cfRule>
    <cfRule type="expression" dxfId="185" priority="12">
      <formula>AND(TODAY()-C3&gt;1035, TODAY()-C3&lt;=1095)</formula>
    </cfRule>
  </conditionalFormatting>
  <conditionalFormatting sqref="C5:C16 C18:C30 C32:C33 C37:C46">
    <cfRule type="expression" dxfId="184" priority="3">
      <formula>TODAY()-C5&gt;365</formula>
    </cfRule>
    <cfRule type="expression" dxfId="183" priority="13">
      <formula>AND(TODAY()-C5&gt;304, TODAY()-C5&lt;=365)</formula>
    </cfRule>
    <cfRule type="expression" dxfId="182" priority="14">
      <formula>TODAY()-C5&lt;=304</formula>
    </cfRule>
  </conditionalFormatting>
  <conditionalFormatting sqref="C17">
    <cfRule type="expression" dxfId="181" priority="7">
      <formula>TODAY()-C17&lt;=1765</formula>
    </cfRule>
    <cfRule type="expression" dxfId="180" priority="8">
      <formula>AND(TODAY()-C17&gt;1765, TODAY()-C17&lt;=1825)</formula>
    </cfRule>
    <cfRule type="expression" dxfId="179" priority="9">
      <formula>TODAY()-C17&gt;1825</formula>
    </cfRule>
  </conditionalFormatting>
  <conditionalFormatting sqref="C31">
    <cfRule type="expression" dxfId="178" priority="4">
      <formula>TODAY()-C31&lt;=669</formula>
    </cfRule>
    <cfRule type="expression" dxfId="177" priority="5">
      <formula>AND(TODAY()-C31&gt;669, TODAY()-C31&lt;=730)</formula>
    </cfRule>
    <cfRule type="expression" dxfId="176" priority="15">
      <formula>TODAY()-C31&gt;730</formula>
    </cfRule>
  </conditionalFormatting>
  <conditionalFormatting sqref="C35">
    <cfRule type="notContainsBlanks" dxfId="175" priority="1">
      <formula>LEN(TRIM(C35))&gt;0</formula>
    </cfRule>
    <cfRule type="containsBlanks" dxfId="174" priority="2">
      <formula>LEN(TRIM(C35))=0</formula>
    </cfRule>
  </conditionalFormatting>
  <pageMargins left="0.7" right="0.7" top="0.75" bottom="0.75" header="0.3" footer="0.3"/>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3F33-2943-4261-9CBA-E945F35B654B}">
  <dimension ref="A1:E51"/>
  <sheetViews>
    <sheetView workbookViewId="0"/>
  </sheetViews>
  <sheetFormatPr baseColWidth="10" defaultColWidth="11.44140625" defaultRowHeight="14.4" x14ac:dyDescent="0.3"/>
  <cols>
    <col min="1" max="1" width="59.109375" bestFit="1" customWidth="1"/>
    <col min="2" max="2" width="23.33203125" bestFit="1" customWidth="1"/>
    <col min="3" max="3" width="21" customWidth="1"/>
    <col min="4" max="4" width="193.33203125" bestFit="1" customWidth="1"/>
    <col min="5" max="5" width="32" bestFit="1" customWidth="1"/>
  </cols>
  <sheetData>
    <row r="1" spans="1:5" ht="14.4" customHeight="1" x14ac:dyDescent="0.3">
      <c r="A1" s="102" t="s">
        <v>0</v>
      </c>
      <c r="B1" s="103"/>
      <c r="C1" s="106" t="s">
        <v>79</v>
      </c>
      <c r="D1" s="108" t="s">
        <v>175</v>
      </c>
      <c r="E1" s="96" t="s">
        <v>81</v>
      </c>
    </row>
    <row r="2" spans="1:5" ht="15" thickBot="1" x14ac:dyDescent="0.35">
      <c r="A2" s="104"/>
      <c r="B2" s="105"/>
      <c r="C2" s="107"/>
      <c r="D2" s="109"/>
      <c r="E2" s="97"/>
    </row>
    <row r="3" spans="1:5" x14ac:dyDescent="0.3">
      <c r="A3" s="2" t="s">
        <v>24</v>
      </c>
      <c r="B3" s="20" t="s">
        <v>25</v>
      </c>
      <c r="C3" s="42" t="s">
        <v>26</v>
      </c>
      <c r="D3" s="47">
        <v>35947</v>
      </c>
      <c r="E3" s="89"/>
    </row>
    <row r="4" spans="1:5" x14ac:dyDescent="0.3">
      <c r="A4" s="6" t="s">
        <v>27</v>
      </c>
      <c r="B4" s="7" t="s">
        <v>28</v>
      </c>
      <c r="C4" s="41" t="s">
        <v>26</v>
      </c>
      <c r="D4" s="25"/>
      <c r="E4" s="90"/>
    </row>
    <row r="5" spans="1:5" x14ac:dyDescent="0.3">
      <c r="A5" s="6" t="s">
        <v>29</v>
      </c>
      <c r="B5" s="7" t="s">
        <v>30</v>
      </c>
      <c r="C5" s="41">
        <v>45717</v>
      </c>
      <c r="D5" s="45"/>
      <c r="E5" s="90"/>
    </row>
    <row r="6" spans="1:5" x14ac:dyDescent="0.3">
      <c r="A6" s="6" t="s">
        <v>31</v>
      </c>
      <c r="B6" s="7" t="s">
        <v>30</v>
      </c>
      <c r="C6" s="41">
        <v>45689</v>
      </c>
      <c r="D6" s="45"/>
      <c r="E6" s="90"/>
    </row>
    <row r="7" spans="1:5" x14ac:dyDescent="0.3">
      <c r="A7" s="6" t="s">
        <v>32</v>
      </c>
      <c r="B7" s="7" t="s">
        <v>30</v>
      </c>
      <c r="C7" s="41">
        <v>45689</v>
      </c>
      <c r="D7" s="45"/>
      <c r="E7" s="90"/>
    </row>
    <row r="8" spans="1:5" x14ac:dyDescent="0.3">
      <c r="A8" s="110" t="s">
        <v>33</v>
      </c>
      <c r="B8" s="7">
        <v>1</v>
      </c>
      <c r="C8" s="41">
        <v>45536</v>
      </c>
      <c r="D8" s="46" t="s">
        <v>176</v>
      </c>
      <c r="E8" s="90"/>
    </row>
    <row r="9" spans="1:5" x14ac:dyDescent="0.3">
      <c r="A9" s="110"/>
      <c r="B9" s="7">
        <v>2</v>
      </c>
      <c r="C9" s="41">
        <v>45717</v>
      </c>
      <c r="D9" s="45"/>
      <c r="E9" s="90"/>
    </row>
    <row r="10" spans="1:5" x14ac:dyDescent="0.3">
      <c r="A10" s="111" t="s">
        <v>34</v>
      </c>
      <c r="B10" s="7">
        <v>1</v>
      </c>
      <c r="C10" s="41">
        <v>45936</v>
      </c>
      <c r="D10" s="46"/>
      <c r="E10" s="90"/>
    </row>
    <row r="11" spans="1:5" x14ac:dyDescent="0.3">
      <c r="A11" s="112"/>
      <c r="B11" s="7">
        <v>2</v>
      </c>
      <c r="C11" s="41">
        <v>46097</v>
      </c>
      <c r="D11" s="45"/>
      <c r="E11" s="90"/>
    </row>
    <row r="12" spans="1:5" x14ac:dyDescent="0.3">
      <c r="A12" s="15" t="s">
        <v>35</v>
      </c>
      <c r="B12" s="7" t="s">
        <v>36</v>
      </c>
      <c r="C12" s="41">
        <v>45809</v>
      </c>
      <c r="D12" s="45" t="s">
        <v>177</v>
      </c>
      <c r="E12" s="90"/>
    </row>
    <row r="13" spans="1:5" x14ac:dyDescent="0.3">
      <c r="A13" s="6" t="s">
        <v>37</v>
      </c>
      <c r="B13" s="7" t="s">
        <v>38</v>
      </c>
      <c r="C13" s="41">
        <v>45897</v>
      </c>
      <c r="D13" s="45" t="s">
        <v>178</v>
      </c>
      <c r="E13" s="90"/>
    </row>
    <row r="14" spans="1:5" x14ac:dyDescent="0.3">
      <c r="A14" s="6" t="s">
        <v>39</v>
      </c>
      <c r="B14" s="7" t="s">
        <v>38</v>
      </c>
      <c r="C14" s="41" t="s">
        <v>26</v>
      </c>
      <c r="D14" s="45"/>
      <c r="E14" s="90"/>
    </row>
    <row r="15" spans="1:5" x14ac:dyDescent="0.3">
      <c r="A15" s="110" t="s">
        <v>40</v>
      </c>
      <c r="B15" s="7" t="s">
        <v>30</v>
      </c>
      <c r="C15" s="41" t="s">
        <v>26</v>
      </c>
      <c r="D15" s="45"/>
      <c r="E15" s="90"/>
    </row>
    <row r="16" spans="1:5" x14ac:dyDescent="0.3">
      <c r="A16" s="110"/>
      <c r="B16" s="7" t="s">
        <v>38</v>
      </c>
      <c r="C16" s="41" t="s">
        <v>26</v>
      </c>
      <c r="D16" s="45"/>
      <c r="E16" s="90"/>
    </row>
    <row r="17" spans="1:5" x14ac:dyDescent="0.3">
      <c r="A17" s="6" t="s">
        <v>41</v>
      </c>
      <c r="B17" s="7" t="s">
        <v>28</v>
      </c>
      <c r="C17" s="41" t="s">
        <v>26</v>
      </c>
      <c r="D17" s="25"/>
      <c r="E17" s="90"/>
    </row>
    <row r="18" spans="1:5" x14ac:dyDescent="0.3">
      <c r="A18" s="110" t="s">
        <v>42</v>
      </c>
      <c r="B18" s="7" t="s">
        <v>30</v>
      </c>
      <c r="C18" s="41" t="s">
        <v>26</v>
      </c>
      <c r="D18" s="45"/>
      <c r="E18" s="90"/>
    </row>
    <row r="19" spans="1:5" x14ac:dyDescent="0.3">
      <c r="A19" s="110"/>
      <c r="B19" s="7" t="s">
        <v>38</v>
      </c>
      <c r="C19" s="41" t="s">
        <v>26</v>
      </c>
      <c r="D19" s="45"/>
      <c r="E19" s="90"/>
    </row>
    <row r="20" spans="1:5" x14ac:dyDescent="0.3">
      <c r="A20" s="6" t="s">
        <v>43</v>
      </c>
      <c r="B20" s="7" t="s">
        <v>38</v>
      </c>
      <c r="C20" s="41">
        <v>45658</v>
      </c>
      <c r="D20" s="25"/>
      <c r="E20" s="90"/>
    </row>
    <row r="21" spans="1:5" x14ac:dyDescent="0.3">
      <c r="A21" s="6" t="s">
        <v>44</v>
      </c>
      <c r="B21" s="7" t="s">
        <v>30</v>
      </c>
      <c r="C21" s="41">
        <v>45965</v>
      </c>
      <c r="D21" s="25"/>
      <c r="E21" s="90"/>
    </row>
    <row r="22" spans="1:5" x14ac:dyDescent="0.3">
      <c r="A22" s="6" t="s">
        <v>45</v>
      </c>
      <c r="B22" s="7" t="s">
        <v>38</v>
      </c>
      <c r="C22" s="41">
        <v>45658</v>
      </c>
      <c r="D22" s="25"/>
      <c r="E22" s="90"/>
    </row>
    <row r="23" spans="1:5" x14ac:dyDescent="0.3">
      <c r="A23" s="6" t="s">
        <v>46</v>
      </c>
      <c r="B23" s="7" t="s">
        <v>38</v>
      </c>
      <c r="C23" s="41">
        <v>45413</v>
      </c>
      <c r="D23" s="25" t="s">
        <v>179</v>
      </c>
      <c r="E23" s="90"/>
    </row>
    <row r="24" spans="1:5" x14ac:dyDescent="0.3">
      <c r="A24" s="6" t="s">
        <v>47</v>
      </c>
      <c r="B24" s="7" t="s">
        <v>48</v>
      </c>
      <c r="C24" s="41">
        <v>45845</v>
      </c>
      <c r="D24" s="25"/>
      <c r="E24" s="90"/>
    </row>
    <row r="25" spans="1:5" x14ac:dyDescent="0.3">
      <c r="A25" s="6" t="s">
        <v>49</v>
      </c>
      <c r="B25" s="7" t="s">
        <v>38</v>
      </c>
      <c r="C25" s="41">
        <v>45910</v>
      </c>
      <c r="D25" s="25"/>
      <c r="E25" s="90"/>
    </row>
    <row r="26" spans="1:5" x14ac:dyDescent="0.3">
      <c r="A26" s="6" t="s">
        <v>50</v>
      </c>
      <c r="B26" s="7" t="s">
        <v>38</v>
      </c>
      <c r="C26" s="41">
        <v>45924</v>
      </c>
      <c r="D26" s="25"/>
      <c r="E26" s="90"/>
    </row>
    <row r="27" spans="1:5" ht="15" customHeight="1" x14ac:dyDescent="0.3">
      <c r="A27" s="110" t="s">
        <v>51</v>
      </c>
      <c r="B27" s="7" t="s">
        <v>30</v>
      </c>
      <c r="C27" s="41" t="s">
        <v>26</v>
      </c>
      <c r="D27" s="25"/>
      <c r="E27" s="90"/>
    </row>
    <row r="28" spans="1:5" ht="15" customHeight="1" x14ac:dyDescent="0.3">
      <c r="A28" s="110"/>
      <c r="B28" s="7" t="s">
        <v>38</v>
      </c>
      <c r="C28" s="41" t="s">
        <v>26</v>
      </c>
      <c r="D28" s="25"/>
      <c r="E28" s="90"/>
    </row>
    <row r="29" spans="1:5" x14ac:dyDescent="0.3">
      <c r="A29" s="6" t="s">
        <v>52</v>
      </c>
      <c r="B29" s="7"/>
      <c r="C29" s="41">
        <v>45809</v>
      </c>
      <c r="D29" s="45"/>
      <c r="E29" s="90"/>
    </row>
    <row r="30" spans="1:5" x14ac:dyDescent="0.3">
      <c r="A30" s="6" t="s">
        <v>53</v>
      </c>
      <c r="B30" s="7"/>
      <c r="C30" s="41">
        <v>45809</v>
      </c>
      <c r="D30" s="25"/>
      <c r="E30" s="90"/>
    </row>
    <row r="31" spans="1:5" x14ac:dyDescent="0.3">
      <c r="A31" s="6" t="s">
        <v>54</v>
      </c>
      <c r="B31" s="7" t="s">
        <v>55</v>
      </c>
      <c r="C31" s="41">
        <v>45627</v>
      </c>
      <c r="D31" s="25"/>
      <c r="E31" s="90"/>
    </row>
    <row r="32" spans="1:5" x14ac:dyDescent="0.3">
      <c r="A32" s="6" t="s">
        <v>56</v>
      </c>
      <c r="B32" s="7" t="s">
        <v>55</v>
      </c>
      <c r="C32" s="41">
        <v>46057</v>
      </c>
      <c r="D32" s="25"/>
      <c r="E32" s="90"/>
    </row>
    <row r="33" spans="1:5" x14ac:dyDescent="0.3">
      <c r="A33" s="6" t="s">
        <v>57</v>
      </c>
      <c r="B33" s="7" t="s">
        <v>55</v>
      </c>
      <c r="C33" s="41">
        <v>45717</v>
      </c>
      <c r="D33" s="25"/>
      <c r="E33" s="90"/>
    </row>
    <row r="34" spans="1:5" x14ac:dyDescent="0.3">
      <c r="A34" s="6" t="s">
        <v>58</v>
      </c>
      <c r="B34" s="7" t="s">
        <v>55</v>
      </c>
      <c r="C34" s="41">
        <v>45383</v>
      </c>
      <c r="D34" s="25"/>
      <c r="E34" s="90"/>
    </row>
    <row r="35" spans="1:5" x14ac:dyDescent="0.3">
      <c r="A35" s="6" t="s">
        <v>59</v>
      </c>
      <c r="B35" s="7"/>
      <c r="C35" s="41">
        <v>44256</v>
      </c>
      <c r="D35" s="25"/>
      <c r="E35" s="90"/>
    </row>
    <row r="36" spans="1:5" x14ac:dyDescent="0.3">
      <c r="A36" s="6" t="s">
        <v>60</v>
      </c>
      <c r="B36" s="7" t="s">
        <v>61</v>
      </c>
      <c r="C36" s="41">
        <v>42644</v>
      </c>
      <c r="D36" s="25"/>
      <c r="E36" s="90"/>
    </row>
    <row r="37" spans="1:5" x14ac:dyDescent="0.3">
      <c r="A37" s="6" t="s">
        <v>62</v>
      </c>
      <c r="B37" s="7"/>
      <c r="C37" s="41"/>
      <c r="D37" s="25" t="s">
        <v>180</v>
      </c>
      <c r="E37" s="90"/>
    </row>
    <row r="38" spans="1:5" x14ac:dyDescent="0.3">
      <c r="A38" s="6" t="s">
        <v>63</v>
      </c>
      <c r="B38" s="7"/>
      <c r="C38" s="41"/>
      <c r="D38" s="25" t="s">
        <v>180</v>
      </c>
      <c r="E38" s="90"/>
    </row>
    <row r="39" spans="1:5" x14ac:dyDescent="0.3">
      <c r="A39" s="6" t="s">
        <v>64</v>
      </c>
      <c r="B39" s="7"/>
      <c r="C39" s="41">
        <v>45809</v>
      </c>
      <c r="D39" s="25"/>
      <c r="E39" s="90"/>
    </row>
    <row r="40" spans="1:5" x14ac:dyDescent="0.3">
      <c r="A40" s="6" t="s">
        <v>65</v>
      </c>
      <c r="B40" s="7"/>
      <c r="C40" s="41">
        <v>45574</v>
      </c>
      <c r="D40" s="25"/>
      <c r="E40" s="90"/>
    </row>
    <row r="41" spans="1:5" x14ac:dyDescent="0.3">
      <c r="A41" s="6" t="s">
        <v>66</v>
      </c>
      <c r="B41" s="7"/>
      <c r="C41" s="41"/>
      <c r="D41" s="25"/>
      <c r="E41" s="90"/>
    </row>
    <row r="42" spans="1:5" x14ac:dyDescent="0.3">
      <c r="A42" s="6" t="s">
        <v>67</v>
      </c>
      <c r="B42" s="7"/>
      <c r="C42" s="41">
        <v>45978</v>
      </c>
      <c r="D42" s="25"/>
      <c r="E42" s="90"/>
    </row>
    <row r="43" spans="1:5" x14ac:dyDescent="0.3">
      <c r="A43" s="6" t="s">
        <v>68</v>
      </c>
      <c r="B43" s="7" t="s">
        <v>69</v>
      </c>
      <c r="C43" s="41">
        <v>45536</v>
      </c>
      <c r="D43" s="25" t="s">
        <v>181</v>
      </c>
      <c r="E43" s="90"/>
    </row>
    <row r="44" spans="1:5" x14ac:dyDescent="0.3">
      <c r="A44" s="6" t="s">
        <v>70</v>
      </c>
      <c r="B44" s="7" t="s">
        <v>69</v>
      </c>
      <c r="C44" s="41">
        <v>45261</v>
      </c>
      <c r="D44" s="25" t="s">
        <v>182</v>
      </c>
      <c r="E44" s="90"/>
    </row>
    <row r="45" spans="1:5" x14ac:dyDescent="0.3">
      <c r="A45" s="6" t="s">
        <v>71</v>
      </c>
      <c r="B45" s="7" t="s">
        <v>72</v>
      </c>
      <c r="C45" s="41"/>
      <c r="D45" s="45" t="s">
        <v>98</v>
      </c>
      <c r="E45" s="90"/>
    </row>
    <row r="46" spans="1:5" ht="15" thickBot="1" x14ac:dyDescent="0.35">
      <c r="A46" s="3" t="s">
        <v>71</v>
      </c>
      <c r="B46" s="5" t="s">
        <v>73</v>
      </c>
      <c r="C46" s="43"/>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Pyp+roY2qs4BeT3MO8s78b687kccs6TJFqc7rE2/VdLEZk3VBHFA70Ln8B0zM+UrQWXBl3NYMIntzaynyHDa6g==" saltValue="96N6tEKKB5nKsfVTMPkHGg=="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173" priority="10">
      <formula>TODAY()-C3&gt;1095</formula>
    </cfRule>
    <cfRule type="expression" dxfId="172" priority="11">
      <formula>TODAY()-C3&lt;=1035</formula>
    </cfRule>
    <cfRule type="expression" dxfId="171" priority="12">
      <formula>AND(TODAY()-C3&gt;1035, TODAY()-C3&lt;=1095)</formula>
    </cfRule>
  </conditionalFormatting>
  <conditionalFormatting sqref="C5:C16 C18:C30 C32:C33 C37:C46">
    <cfRule type="expression" dxfId="170" priority="3">
      <formula>TODAY()-C5&gt;365</formula>
    </cfRule>
    <cfRule type="expression" dxfId="169" priority="13">
      <formula>AND(TODAY()-C5&gt;304, TODAY()-C5&lt;=365)</formula>
    </cfRule>
    <cfRule type="expression" dxfId="168" priority="14">
      <formula>TODAY()-C5&lt;=304</formula>
    </cfRule>
  </conditionalFormatting>
  <conditionalFormatting sqref="C17">
    <cfRule type="expression" dxfId="167" priority="7">
      <formula>TODAY()-C17&lt;=1765</formula>
    </cfRule>
    <cfRule type="expression" dxfId="166" priority="8">
      <formula>AND(TODAY()-C17&gt;1765, TODAY()-C17&lt;=1825)</formula>
    </cfRule>
    <cfRule type="expression" dxfId="165" priority="9">
      <formula>TODAY()-C17&gt;1825</formula>
    </cfRule>
  </conditionalFormatting>
  <conditionalFormatting sqref="C31">
    <cfRule type="expression" dxfId="164" priority="4">
      <formula>TODAY()-C31&lt;=669</formula>
    </cfRule>
    <cfRule type="expression" dxfId="163" priority="5">
      <formula>AND(TODAY()-C31&gt;669, TODAY()-C31&lt;=730)</formula>
    </cfRule>
    <cfRule type="expression" dxfId="162" priority="15">
      <formula>TODAY()-C31&gt;730</formula>
    </cfRule>
  </conditionalFormatting>
  <conditionalFormatting sqref="C35">
    <cfRule type="notContainsBlanks" dxfId="161" priority="1">
      <formula>LEN(TRIM(C35))&gt;0</formula>
    </cfRule>
    <cfRule type="containsBlanks" dxfId="160" priority="2">
      <formula>LEN(TRIM(C35))=0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AEF-7581-4DCC-B946-D742A8298094}">
  <dimension ref="A1:E51"/>
  <sheetViews>
    <sheetView topLeftCell="B1" workbookViewId="0">
      <selection activeCell="E12" sqref="E12"/>
    </sheetView>
  </sheetViews>
  <sheetFormatPr baseColWidth="10" defaultColWidth="11.44140625" defaultRowHeight="14.4" x14ac:dyDescent="0.3"/>
  <cols>
    <col min="1" max="1" width="59.109375" bestFit="1" customWidth="1"/>
    <col min="2" max="2" width="23.33203125" bestFit="1" customWidth="1"/>
    <col min="3" max="3" width="21" customWidth="1"/>
    <col min="4" max="4" width="105" bestFit="1" customWidth="1"/>
    <col min="5" max="5" width="32" bestFit="1" customWidth="1"/>
  </cols>
  <sheetData>
    <row r="1" spans="1:5" ht="14.4" customHeight="1" x14ac:dyDescent="0.3">
      <c r="A1" s="102" t="s">
        <v>0</v>
      </c>
      <c r="B1" s="103"/>
      <c r="C1" s="106" t="s">
        <v>79</v>
      </c>
      <c r="D1" s="108" t="s">
        <v>183</v>
      </c>
      <c r="E1" s="96" t="s">
        <v>81</v>
      </c>
    </row>
    <row r="2" spans="1:5" ht="15" thickBot="1" x14ac:dyDescent="0.35">
      <c r="A2" s="104"/>
      <c r="B2" s="105"/>
      <c r="C2" s="107"/>
      <c r="D2" s="109"/>
      <c r="E2" s="97"/>
    </row>
    <row r="3" spans="1:5" x14ac:dyDescent="0.3">
      <c r="A3" s="2" t="s">
        <v>24</v>
      </c>
      <c r="B3" s="20" t="s">
        <v>25</v>
      </c>
      <c r="C3" s="42">
        <v>44986</v>
      </c>
      <c r="D3" s="44" t="s">
        <v>184</v>
      </c>
      <c r="E3" s="89"/>
    </row>
    <row r="4" spans="1:5" x14ac:dyDescent="0.3">
      <c r="A4" s="6" t="s">
        <v>27</v>
      </c>
      <c r="B4" s="7" t="s">
        <v>28</v>
      </c>
      <c r="C4" s="41">
        <v>45047</v>
      </c>
      <c r="D4" s="13"/>
      <c r="E4" s="90"/>
    </row>
    <row r="5" spans="1:5" x14ac:dyDescent="0.3">
      <c r="A5" s="6" t="s">
        <v>29</v>
      </c>
      <c r="B5" s="7" t="s">
        <v>30</v>
      </c>
      <c r="C5" s="41">
        <v>45981</v>
      </c>
      <c r="D5" s="26"/>
      <c r="E5" s="90"/>
    </row>
    <row r="6" spans="1:5" x14ac:dyDescent="0.3">
      <c r="A6" s="6" t="s">
        <v>31</v>
      </c>
      <c r="B6" s="7" t="s">
        <v>30</v>
      </c>
      <c r="C6" s="41">
        <v>45712</v>
      </c>
      <c r="D6" s="26"/>
      <c r="E6" s="90"/>
    </row>
    <row r="7" spans="1:5" x14ac:dyDescent="0.3">
      <c r="A7" s="6" t="s">
        <v>32</v>
      </c>
      <c r="B7" s="7" t="s">
        <v>30</v>
      </c>
      <c r="C7" s="41">
        <v>45712</v>
      </c>
      <c r="D7" s="24"/>
      <c r="E7" s="90"/>
    </row>
    <row r="8" spans="1:5" x14ac:dyDescent="0.3">
      <c r="A8" s="110" t="s">
        <v>33</v>
      </c>
      <c r="B8" s="7">
        <v>1</v>
      </c>
      <c r="C8" s="41">
        <v>45903</v>
      </c>
      <c r="D8" s="22"/>
      <c r="E8" s="90"/>
    </row>
    <row r="9" spans="1:5" x14ac:dyDescent="0.3">
      <c r="A9" s="110"/>
      <c r="B9" s="7">
        <v>2</v>
      </c>
      <c r="C9" s="41">
        <v>46087</v>
      </c>
      <c r="D9" s="26"/>
      <c r="E9" s="90"/>
    </row>
    <row r="10" spans="1:5" x14ac:dyDescent="0.3">
      <c r="A10" s="111" t="s">
        <v>34</v>
      </c>
      <c r="B10" s="7">
        <v>1</v>
      </c>
      <c r="C10" s="41">
        <v>45931</v>
      </c>
      <c r="D10" s="22"/>
      <c r="E10" s="90"/>
    </row>
    <row r="11" spans="1:5" x14ac:dyDescent="0.3">
      <c r="A11" s="112"/>
      <c r="B11" s="7">
        <v>2</v>
      </c>
      <c r="C11" s="41">
        <v>46146</v>
      </c>
      <c r="D11" s="26"/>
      <c r="E11" s="90"/>
    </row>
    <row r="12" spans="1:5" x14ac:dyDescent="0.3">
      <c r="A12" s="15" t="s">
        <v>35</v>
      </c>
      <c r="B12" s="7" t="s">
        <v>36</v>
      </c>
      <c r="C12" s="41">
        <v>46174</v>
      </c>
      <c r="D12" s="26" t="s">
        <v>185</v>
      </c>
      <c r="E12" s="90"/>
    </row>
    <row r="13" spans="1:5" x14ac:dyDescent="0.3">
      <c r="A13" s="6" t="s">
        <v>37</v>
      </c>
      <c r="B13" s="7" t="s">
        <v>38</v>
      </c>
      <c r="C13" s="41">
        <v>46121</v>
      </c>
      <c r="D13" s="26" t="s">
        <v>186</v>
      </c>
      <c r="E13" s="90"/>
    </row>
    <row r="14" spans="1:5" x14ac:dyDescent="0.3">
      <c r="A14" s="6" t="s">
        <v>39</v>
      </c>
      <c r="B14" s="7" t="s">
        <v>38</v>
      </c>
      <c r="C14" s="41">
        <v>46030</v>
      </c>
      <c r="D14" s="24"/>
      <c r="E14" s="90"/>
    </row>
    <row r="15" spans="1:5" x14ac:dyDescent="0.3">
      <c r="A15" s="110" t="s">
        <v>40</v>
      </c>
      <c r="B15" s="7" t="s">
        <v>30</v>
      </c>
      <c r="C15" s="41" t="s">
        <v>26</v>
      </c>
      <c r="D15" s="24"/>
      <c r="E15" s="90"/>
    </row>
    <row r="16" spans="1:5" x14ac:dyDescent="0.3">
      <c r="A16" s="110"/>
      <c r="B16" s="7" t="s">
        <v>38</v>
      </c>
      <c r="C16" s="41" t="s">
        <v>26</v>
      </c>
      <c r="D16" s="24"/>
      <c r="E16" s="90"/>
    </row>
    <row r="17" spans="1:5" x14ac:dyDescent="0.3">
      <c r="A17" s="6" t="s">
        <v>41</v>
      </c>
      <c r="B17" s="7" t="s">
        <v>28</v>
      </c>
      <c r="C17" s="41" t="s">
        <v>26</v>
      </c>
      <c r="D17" s="13"/>
      <c r="E17" s="90"/>
    </row>
    <row r="18" spans="1:5" x14ac:dyDescent="0.3">
      <c r="A18" s="110" t="s">
        <v>42</v>
      </c>
      <c r="B18" s="7" t="s">
        <v>30</v>
      </c>
      <c r="C18" s="41" t="s">
        <v>26</v>
      </c>
      <c r="D18" s="24"/>
      <c r="E18" s="90"/>
    </row>
    <row r="19" spans="1:5" x14ac:dyDescent="0.3">
      <c r="A19" s="110"/>
      <c r="B19" s="7" t="s">
        <v>38</v>
      </c>
      <c r="C19" s="41" t="s">
        <v>26</v>
      </c>
      <c r="D19" s="24"/>
      <c r="E19" s="90"/>
    </row>
    <row r="20" spans="1:5" x14ac:dyDescent="0.3">
      <c r="A20" s="6" t="s">
        <v>43</v>
      </c>
      <c r="B20" s="7" t="s">
        <v>38</v>
      </c>
      <c r="C20" s="41" t="s">
        <v>26</v>
      </c>
      <c r="D20" s="13"/>
      <c r="E20" s="90"/>
    </row>
    <row r="21" spans="1:5" x14ac:dyDescent="0.3">
      <c r="A21" s="6" t="s">
        <v>44</v>
      </c>
      <c r="B21" s="7" t="s">
        <v>30</v>
      </c>
      <c r="C21" s="41" t="s">
        <v>26</v>
      </c>
      <c r="D21" s="13"/>
      <c r="E21" s="90"/>
    </row>
    <row r="22" spans="1:5" x14ac:dyDescent="0.3">
      <c r="A22" s="6" t="s">
        <v>45</v>
      </c>
      <c r="B22" s="7" t="s">
        <v>38</v>
      </c>
      <c r="C22" s="41" t="s">
        <v>26</v>
      </c>
      <c r="D22" s="13"/>
      <c r="E22" s="90"/>
    </row>
    <row r="23" spans="1:5" x14ac:dyDescent="0.3">
      <c r="A23" s="6" t="s">
        <v>46</v>
      </c>
      <c r="B23" s="7" t="s">
        <v>38</v>
      </c>
      <c r="C23" s="41" t="s">
        <v>26</v>
      </c>
      <c r="D23" s="13"/>
      <c r="E23" s="90"/>
    </row>
    <row r="24" spans="1:5" x14ac:dyDescent="0.3">
      <c r="A24" s="6" t="s">
        <v>47</v>
      </c>
      <c r="B24" s="7" t="s">
        <v>48</v>
      </c>
      <c r="C24" s="41" t="s">
        <v>26</v>
      </c>
      <c r="D24" s="13"/>
      <c r="E24" s="90"/>
    </row>
    <row r="25" spans="1:5" x14ac:dyDescent="0.3">
      <c r="A25" s="6" t="s">
        <v>49</v>
      </c>
      <c r="B25" s="7" t="s">
        <v>38</v>
      </c>
      <c r="C25" s="41" t="s">
        <v>26</v>
      </c>
      <c r="D25" s="13"/>
      <c r="E25" s="90"/>
    </row>
    <row r="26" spans="1:5" x14ac:dyDescent="0.3">
      <c r="A26" s="6" t="s">
        <v>50</v>
      </c>
      <c r="B26" s="7" t="s">
        <v>38</v>
      </c>
      <c r="C26" s="41" t="s">
        <v>26</v>
      </c>
      <c r="D26" s="13"/>
      <c r="E26" s="90"/>
    </row>
    <row r="27" spans="1:5" ht="15" customHeight="1" x14ac:dyDescent="0.3">
      <c r="A27" s="110" t="s">
        <v>51</v>
      </c>
      <c r="B27" s="7" t="s">
        <v>30</v>
      </c>
      <c r="C27" s="41" t="s">
        <v>26</v>
      </c>
      <c r="D27" s="13"/>
      <c r="E27" s="90"/>
    </row>
    <row r="28" spans="1:5" ht="15" customHeight="1" x14ac:dyDescent="0.3">
      <c r="A28" s="110"/>
      <c r="B28" s="7" t="s">
        <v>38</v>
      </c>
      <c r="C28" s="41" t="s">
        <v>26</v>
      </c>
      <c r="D28" s="13"/>
      <c r="E28" s="90"/>
    </row>
    <row r="29" spans="1:5" x14ac:dyDescent="0.3">
      <c r="A29" s="6" t="s">
        <v>52</v>
      </c>
      <c r="B29" s="7"/>
      <c r="C29" s="41">
        <v>45809</v>
      </c>
      <c r="D29" s="26"/>
      <c r="E29" s="90"/>
    </row>
    <row r="30" spans="1:5" x14ac:dyDescent="0.3">
      <c r="A30" s="6" t="s">
        <v>53</v>
      </c>
      <c r="B30" s="7"/>
      <c r="C30" s="41">
        <v>45809</v>
      </c>
      <c r="D30" s="25"/>
      <c r="E30" s="90"/>
    </row>
    <row r="31" spans="1:5" x14ac:dyDescent="0.3">
      <c r="A31" s="6" t="s">
        <v>54</v>
      </c>
      <c r="B31" s="7" t="s">
        <v>55</v>
      </c>
      <c r="C31" s="41">
        <v>45954</v>
      </c>
      <c r="D31" s="25"/>
      <c r="E31" s="90"/>
    </row>
    <row r="32" spans="1:5" x14ac:dyDescent="0.3">
      <c r="A32" s="6" t="s">
        <v>56</v>
      </c>
      <c r="B32" s="7" t="s">
        <v>55</v>
      </c>
      <c r="C32" s="41">
        <v>45952</v>
      </c>
      <c r="D32" s="25"/>
      <c r="E32" s="90"/>
    </row>
    <row r="33" spans="1:5" x14ac:dyDescent="0.3">
      <c r="A33" s="6" t="s">
        <v>57</v>
      </c>
      <c r="B33" s="7" t="s">
        <v>55</v>
      </c>
      <c r="C33" s="41">
        <v>46087</v>
      </c>
      <c r="D33" s="25"/>
      <c r="E33" s="90"/>
    </row>
    <row r="34" spans="1:5" x14ac:dyDescent="0.3">
      <c r="A34" s="6" t="s">
        <v>58</v>
      </c>
      <c r="B34" s="7" t="s">
        <v>55</v>
      </c>
      <c r="C34" s="41">
        <v>45383</v>
      </c>
      <c r="D34" s="25"/>
      <c r="E34" s="90"/>
    </row>
    <row r="35" spans="1:5" x14ac:dyDescent="0.3">
      <c r="A35" s="6" t="s">
        <v>59</v>
      </c>
      <c r="B35" s="7"/>
      <c r="C35" s="41"/>
      <c r="D35" s="25"/>
      <c r="E35" s="90"/>
    </row>
    <row r="36" spans="1:5" x14ac:dyDescent="0.3">
      <c r="A36" s="6" t="s">
        <v>60</v>
      </c>
      <c r="B36" s="7" t="s">
        <v>61</v>
      </c>
      <c r="C36" s="41">
        <v>39326</v>
      </c>
      <c r="D36" s="25"/>
      <c r="E36" s="90"/>
    </row>
    <row r="37" spans="1:5" x14ac:dyDescent="0.3">
      <c r="A37" s="6" t="s">
        <v>62</v>
      </c>
      <c r="B37" s="7"/>
      <c r="C37" s="41" t="s">
        <v>26</v>
      </c>
      <c r="D37" s="13"/>
      <c r="E37" s="90"/>
    </row>
    <row r="38" spans="1:5" x14ac:dyDescent="0.3">
      <c r="A38" s="6" t="s">
        <v>63</v>
      </c>
      <c r="B38" s="7"/>
      <c r="C38" s="41"/>
      <c r="D38" s="25"/>
      <c r="E38" s="90"/>
    </row>
    <row r="39" spans="1:5" x14ac:dyDescent="0.3">
      <c r="A39" s="6" t="s">
        <v>64</v>
      </c>
      <c r="B39" s="7"/>
      <c r="C39" s="41"/>
      <c r="D39" s="25"/>
      <c r="E39" s="90"/>
    </row>
    <row r="40" spans="1:5" x14ac:dyDescent="0.3">
      <c r="A40" s="6" t="s">
        <v>65</v>
      </c>
      <c r="B40" s="7"/>
      <c r="C40" s="41">
        <v>45574</v>
      </c>
      <c r="D40" s="25"/>
      <c r="E40" s="90"/>
    </row>
    <row r="41" spans="1:5" x14ac:dyDescent="0.3">
      <c r="A41" s="6" t="s">
        <v>66</v>
      </c>
      <c r="B41" s="7"/>
      <c r="C41" s="41" t="s">
        <v>26</v>
      </c>
      <c r="D41" s="13"/>
      <c r="E41" s="90"/>
    </row>
    <row r="42" spans="1:5" x14ac:dyDescent="0.3">
      <c r="A42" s="6" t="s">
        <v>67</v>
      </c>
      <c r="B42" s="7"/>
      <c r="C42" s="41">
        <v>45978</v>
      </c>
      <c r="D42" s="25"/>
      <c r="E42" s="90"/>
    </row>
    <row r="43" spans="1:5" x14ac:dyDescent="0.3">
      <c r="A43" s="6" t="s">
        <v>68</v>
      </c>
      <c r="B43" s="7" t="s">
        <v>69</v>
      </c>
      <c r="C43" s="41">
        <v>45536</v>
      </c>
      <c r="D43" s="25" t="s">
        <v>187</v>
      </c>
      <c r="E43" s="90"/>
    </row>
    <row r="44" spans="1:5" x14ac:dyDescent="0.3">
      <c r="A44" s="6" t="s">
        <v>70</v>
      </c>
      <c r="B44" s="7" t="s">
        <v>69</v>
      </c>
      <c r="C44" s="41">
        <v>45261</v>
      </c>
      <c r="D44" s="25"/>
      <c r="E44" s="90"/>
    </row>
    <row r="45" spans="1:5" x14ac:dyDescent="0.3">
      <c r="A45" s="6" t="s">
        <v>71</v>
      </c>
      <c r="B45" s="7" t="s">
        <v>72</v>
      </c>
      <c r="C45" s="41">
        <v>1</v>
      </c>
      <c r="D45" s="26" t="s">
        <v>98</v>
      </c>
      <c r="E45" s="90"/>
    </row>
    <row r="46" spans="1:5" ht="15" thickBot="1" x14ac:dyDescent="0.35">
      <c r="A46" s="3" t="s">
        <v>71</v>
      </c>
      <c r="B46" s="5" t="s">
        <v>73</v>
      </c>
      <c r="C46" s="43">
        <v>1</v>
      </c>
      <c r="D46" s="26"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F1P1hJteYZlhybKufWvY9ys+/sUhmR/Brx+x0OtQbh52UE2WVk2+tXAXj3fhdB2L0EdjoCuDdeEPGeZehsQXPg==" saltValue="78Hv24bbDMDie+q4bYcY4Q=="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159" priority="12">
      <formula>TODAY()-C3&gt;1095</formula>
    </cfRule>
    <cfRule type="expression" dxfId="158" priority="13">
      <formula>TODAY()-C3&lt;=1035</formula>
    </cfRule>
    <cfRule type="expression" dxfId="157" priority="14">
      <formula>AND(TODAY()-C3&gt;1035, TODAY()-C3&lt;=1095)</formula>
    </cfRule>
  </conditionalFormatting>
  <conditionalFormatting sqref="C5:C13 C15:C16 C18:C30 C32:C33 C37:C46">
    <cfRule type="expression" dxfId="156" priority="5">
      <formula>TODAY()-C5&gt;365</formula>
    </cfRule>
    <cfRule type="expression" dxfId="155" priority="15">
      <formula>AND(TODAY()-C5&gt;304, TODAY()-C5&lt;=365)</formula>
    </cfRule>
    <cfRule type="expression" dxfId="154" priority="16">
      <formula>TODAY()-C5&lt;=304</formula>
    </cfRule>
  </conditionalFormatting>
  <conditionalFormatting sqref="C14">
    <cfRule type="expression" dxfId="153" priority="1">
      <formula>TODAY()-C14&lt;=30</formula>
    </cfRule>
    <cfRule type="expression" dxfId="152" priority="2">
      <formula>TODAY()-C14&gt;30</formula>
    </cfRule>
  </conditionalFormatting>
  <conditionalFormatting sqref="C17">
    <cfRule type="expression" dxfId="151" priority="9">
      <formula>TODAY()-C17&lt;=1765</formula>
    </cfRule>
    <cfRule type="expression" dxfId="150" priority="10">
      <formula>AND(TODAY()-C17&gt;1765, TODAY()-C17&lt;=1825)</formula>
    </cfRule>
    <cfRule type="expression" dxfId="149" priority="11">
      <formula>TODAY()-C17&gt;1825</formula>
    </cfRule>
  </conditionalFormatting>
  <conditionalFormatting sqref="C31">
    <cfRule type="expression" dxfId="148" priority="6">
      <formula>TODAY()-C31&lt;=669</formula>
    </cfRule>
    <cfRule type="expression" dxfId="147" priority="7">
      <formula>AND(TODAY()-C31&gt;669, TODAY()-C31&lt;=730)</formula>
    </cfRule>
    <cfRule type="expression" dxfId="146" priority="17">
      <formula>TODAY()-C31&gt;730</formula>
    </cfRule>
  </conditionalFormatting>
  <conditionalFormatting sqref="C35">
    <cfRule type="notContainsBlanks" dxfId="145" priority="3">
      <formula>LEN(TRIM(C35))&gt;0</formula>
    </cfRule>
    <cfRule type="containsBlanks" dxfId="144" priority="4">
      <formula>LEN(TRIM(C35))=0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CDCA-96B0-464E-92E1-42D8FBDA93EA}">
  <dimension ref="A1:E51"/>
  <sheetViews>
    <sheetView workbookViewId="0">
      <selection activeCell="C10" sqref="C10"/>
    </sheetView>
  </sheetViews>
  <sheetFormatPr baseColWidth="10" defaultColWidth="11.44140625" defaultRowHeight="14.4" x14ac:dyDescent="0.3"/>
  <cols>
    <col min="1" max="1" width="59.109375" bestFit="1" customWidth="1"/>
    <col min="2" max="2" width="23.33203125" bestFit="1" customWidth="1"/>
    <col min="3" max="3" width="21" customWidth="1"/>
    <col min="4" max="4" width="66.33203125" bestFit="1" customWidth="1"/>
    <col min="5" max="5" width="31.5546875" bestFit="1" customWidth="1"/>
  </cols>
  <sheetData>
    <row r="1" spans="1:5" ht="14.4" customHeight="1" x14ac:dyDescent="0.3">
      <c r="A1" s="102" t="s">
        <v>0</v>
      </c>
      <c r="B1" s="103"/>
      <c r="C1" s="106" t="s">
        <v>79</v>
      </c>
      <c r="D1" s="108" t="s">
        <v>188</v>
      </c>
      <c r="E1" s="96" t="s">
        <v>81</v>
      </c>
    </row>
    <row r="2" spans="1:5" ht="15" thickBot="1" x14ac:dyDescent="0.35">
      <c r="A2" s="104"/>
      <c r="B2" s="105"/>
      <c r="C2" s="107"/>
      <c r="D2" s="109"/>
      <c r="E2" s="97"/>
    </row>
    <row r="3" spans="1:5" x14ac:dyDescent="0.3">
      <c r="A3" s="2" t="s">
        <v>24</v>
      </c>
      <c r="B3" s="20" t="s">
        <v>25</v>
      </c>
      <c r="C3" s="42" t="s">
        <v>189</v>
      </c>
      <c r="D3" s="44"/>
      <c r="E3" s="89"/>
    </row>
    <row r="4" spans="1:5" x14ac:dyDescent="0.3">
      <c r="A4" s="6" t="s">
        <v>27</v>
      </c>
      <c r="B4" s="7" t="s">
        <v>28</v>
      </c>
      <c r="C4" s="41" t="s">
        <v>26</v>
      </c>
      <c r="D4" s="25"/>
      <c r="E4" s="90"/>
    </row>
    <row r="5" spans="1:5" x14ac:dyDescent="0.3">
      <c r="A5" s="6" t="s">
        <v>29</v>
      </c>
      <c r="B5" s="7" t="s">
        <v>30</v>
      </c>
      <c r="C5" s="41">
        <v>45911</v>
      </c>
      <c r="D5" s="45"/>
      <c r="E5" s="90"/>
    </row>
    <row r="6" spans="1:5" x14ac:dyDescent="0.3">
      <c r="A6" s="6" t="s">
        <v>31</v>
      </c>
      <c r="B6" s="7" t="s">
        <v>30</v>
      </c>
      <c r="C6" s="41">
        <v>45689</v>
      </c>
      <c r="D6" s="45"/>
      <c r="E6" s="90"/>
    </row>
    <row r="7" spans="1:5" x14ac:dyDescent="0.3">
      <c r="A7" s="6" t="s">
        <v>32</v>
      </c>
      <c r="B7" s="7" t="s">
        <v>30</v>
      </c>
      <c r="C7" s="41">
        <v>45689</v>
      </c>
      <c r="D7" s="45"/>
      <c r="E7" s="90"/>
    </row>
    <row r="8" spans="1:5" x14ac:dyDescent="0.3">
      <c r="A8" s="110" t="s">
        <v>33</v>
      </c>
      <c r="B8" s="7">
        <v>1</v>
      </c>
      <c r="C8" s="41">
        <v>45911</v>
      </c>
      <c r="D8" s="46"/>
      <c r="E8" s="90"/>
    </row>
    <row r="9" spans="1:5" x14ac:dyDescent="0.3">
      <c r="A9" s="110"/>
      <c r="B9" s="7">
        <v>2</v>
      </c>
      <c r="C9" s="41">
        <v>46093</v>
      </c>
      <c r="D9" s="45"/>
      <c r="E9" s="90"/>
    </row>
    <row r="10" spans="1:5" x14ac:dyDescent="0.3">
      <c r="A10" s="111" t="s">
        <v>34</v>
      </c>
      <c r="B10" s="7">
        <v>1</v>
      </c>
      <c r="C10" s="41">
        <v>45939</v>
      </c>
      <c r="D10" s="46"/>
      <c r="E10" s="90"/>
    </row>
    <row r="11" spans="1:5" x14ac:dyDescent="0.3">
      <c r="A11" s="112"/>
      <c r="B11" s="7">
        <v>2</v>
      </c>
      <c r="C11" s="41">
        <v>45750</v>
      </c>
      <c r="D11" s="45"/>
      <c r="E11" s="90"/>
    </row>
    <row r="12" spans="1:5" x14ac:dyDescent="0.3">
      <c r="A12" s="15" t="s">
        <v>35</v>
      </c>
      <c r="B12" s="7" t="s">
        <v>36</v>
      </c>
      <c r="C12" s="41">
        <v>45809</v>
      </c>
      <c r="D12" s="45" t="s">
        <v>190</v>
      </c>
      <c r="E12" s="90"/>
    </row>
    <row r="13" spans="1:5" x14ac:dyDescent="0.3">
      <c r="A13" s="6" t="s">
        <v>37</v>
      </c>
      <c r="B13" s="7" t="s">
        <v>38</v>
      </c>
      <c r="C13" s="41">
        <v>45366</v>
      </c>
      <c r="D13" s="45" t="s">
        <v>191</v>
      </c>
      <c r="E13" s="90"/>
    </row>
    <row r="14" spans="1:5" x14ac:dyDescent="0.3">
      <c r="A14" s="6" t="s">
        <v>39</v>
      </c>
      <c r="B14" s="7" t="s">
        <v>38</v>
      </c>
      <c r="C14" s="41" t="s">
        <v>26</v>
      </c>
      <c r="D14" s="45"/>
      <c r="E14" s="90"/>
    </row>
    <row r="15" spans="1:5" x14ac:dyDescent="0.3">
      <c r="A15" s="110" t="s">
        <v>40</v>
      </c>
      <c r="B15" s="7" t="s">
        <v>30</v>
      </c>
      <c r="C15" s="41" t="s">
        <v>26</v>
      </c>
      <c r="D15" s="45"/>
      <c r="E15" s="90"/>
    </row>
    <row r="16" spans="1:5" x14ac:dyDescent="0.3">
      <c r="A16" s="110"/>
      <c r="B16" s="7" t="s">
        <v>38</v>
      </c>
      <c r="C16" s="41" t="s">
        <v>26</v>
      </c>
      <c r="D16" s="45"/>
      <c r="E16" s="90"/>
    </row>
    <row r="17" spans="1:5" x14ac:dyDescent="0.3">
      <c r="A17" s="6" t="s">
        <v>41</v>
      </c>
      <c r="B17" s="7" t="s">
        <v>28</v>
      </c>
      <c r="C17" s="41" t="s">
        <v>26</v>
      </c>
      <c r="D17" s="25"/>
      <c r="E17" s="90"/>
    </row>
    <row r="18" spans="1:5" x14ac:dyDescent="0.3">
      <c r="A18" s="110" t="s">
        <v>42</v>
      </c>
      <c r="B18" s="7" t="s">
        <v>30</v>
      </c>
      <c r="C18" s="41">
        <v>45925</v>
      </c>
      <c r="D18" s="45" t="s">
        <v>192</v>
      </c>
      <c r="E18" s="90"/>
    </row>
    <row r="19" spans="1:5" x14ac:dyDescent="0.3">
      <c r="A19" s="110"/>
      <c r="B19" s="7" t="s">
        <v>38</v>
      </c>
      <c r="C19" s="41">
        <v>45631</v>
      </c>
      <c r="D19" s="94" t="s">
        <v>191</v>
      </c>
      <c r="E19" s="90"/>
    </row>
    <row r="20" spans="1:5" x14ac:dyDescent="0.3">
      <c r="A20" s="6" t="s">
        <v>43</v>
      </c>
      <c r="B20" s="7" t="s">
        <v>38</v>
      </c>
      <c r="C20" s="41">
        <v>45627</v>
      </c>
      <c r="D20" s="94" t="s">
        <v>191</v>
      </c>
      <c r="E20" s="90"/>
    </row>
    <row r="21" spans="1:5" x14ac:dyDescent="0.3">
      <c r="A21" s="6" t="s">
        <v>44</v>
      </c>
      <c r="B21" s="7" t="s">
        <v>30</v>
      </c>
      <c r="C21" s="41" t="s">
        <v>26</v>
      </c>
      <c r="D21" s="25"/>
      <c r="E21" s="90"/>
    </row>
    <row r="22" spans="1:5" x14ac:dyDescent="0.3">
      <c r="A22" s="6" t="s">
        <v>45</v>
      </c>
      <c r="B22" s="7" t="s">
        <v>38</v>
      </c>
      <c r="C22" s="41" t="s">
        <v>26</v>
      </c>
      <c r="D22" s="25"/>
      <c r="E22" s="90"/>
    </row>
    <row r="23" spans="1:5" x14ac:dyDescent="0.3">
      <c r="A23" s="6" t="s">
        <v>46</v>
      </c>
      <c r="B23" s="7" t="s">
        <v>38</v>
      </c>
      <c r="C23" s="41" t="s">
        <v>26</v>
      </c>
      <c r="D23" s="25"/>
      <c r="E23" s="90"/>
    </row>
    <row r="24" spans="1:5" x14ac:dyDescent="0.3">
      <c r="A24" s="6" t="s">
        <v>47</v>
      </c>
      <c r="B24" s="7" t="s">
        <v>48</v>
      </c>
      <c r="C24" s="41">
        <v>1</v>
      </c>
      <c r="D24" s="25" t="s">
        <v>193</v>
      </c>
      <c r="E24" s="90"/>
    </row>
    <row r="25" spans="1:5" x14ac:dyDescent="0.3">
      <c r="A25" s="6" t="s">
        <v>49</v>
      </c>
      <c r="B25" s="7" t="s">
        <v>38</v>
      </c>
      <c r="C25" s="41" t="s">
        <v>26</v>
      </c>
      <c r="D25" s="25"/>
      <c r="E25" s="90"/>
    </row>
    <row r="26" spans="1:5" x14ac:dyDescent="0.3">
      <c r="A26" s="6" t="s">
        <v>50</v>
      </c>
      <c r="B26" s="7" t="s">
        <v>38</v>
      </c>
      <c r="C26" s="41">
        <v>45975</v>
      </c>
      <c r="D26" s="25" t="s">
        <v>194</v>
      </c>
      <c r="E26" s="90" t="s">
        <v>195</v>
      </c>
    </row>
    <row r="27" spans="1:5" ht="15" customHeight="1" x14ac:dyDescent="0.3">
      <c r="A27" s="110" t="s">
        <v>51</v>
      </c>
      <c r="B27" s="7" t="s">
        <v>30</v>
      </c>
      <c r="C27" s="41" t="s">
        <v>26</v>
      </c>
      <c r="D27" s="25"/>
      <c r="E27" s="90"/>
    </row>
    <row r="28" spans="1:5" ht="15" customHeight="1" x14ac:dyDescent="0.3">
      <c r="A28" s="110"/>
      <c r="B28" s="7" t="s">
        <v>38</v>
      </c>
      <c r="C28" s="41" t="s">
        <v>26</v>
      </c>
      <c r="D28" s="25"/>
      <c r="E28" s="90"/>
    </row>
    <row r="29" spans="1:5" x14ac:dyDescent="0.3">
      <c r="A29" s="6" t="s">
        <v>52</v>
      </c>
      <c r="B29" s="7"/>
      <c r="C29" s="41">
        <v>0</v>
      </c>
      <c r="D29" s="45" t="s">
        <v>196</v>
      </c>
      <c r="E29" s="90"/>
    </row>
    <row r="30" spans="1:5" x14ac:dyDescent="0.3">
      <c r="A30" s="6" t="s">
        <v>53</v>
      </c>
      <c r="B30" s="7"/>
      <c r="C30" s="41">
        <v>0</v>
      </c>
      <c r="D30" s="25" t="s">
        <v>197</v>
      </c>
      <c r="E30" s="90"/>
    </row>
    <row r="31" spans="1:5" x14ac:dyDescent="0.3">
      <c r="A31" s="6" t="s">
        <v>54</v>
      </c>
      <c r="B31" s="7" t="s">
        <v>55</v>
      </c>
      <c r="C31" s="41">
        <v>45627</v>
      </c>
      <c r="D31" s="25" t="s">
        <v>198</v>
      </c>
      <c r="E31" s="90"/>
    </row>
    <row r="32" spans="1:5" x14ac:dyDescent="0.3">
      <c r="A32" s="6" t="s">
        <v>56</v>
      </c>
      <c r="B32" s="7" t="s">
        <v>55</v>
      </c>
      <c r="C32" s="41">
        <v>45627</v>
      </c>
      <c r="D32" s="25"/>
      <c r="E32" s="90"/>
    </row>
    <row r="33" spans="1:5" x14ac:dyDescent="0.3">
      <c r="A33" s="6" t="s">
        <v>57</v>
      </c>
      <c r="B33" s="7" t="s">
        <v>55</v>
      </c>
      <c r="C33" s="41">
        <v>45911</v>
      </c>
      <c r="D33" s="25" t="s">
        <v>199</v>
      </c>
      <c r="E33" s="90"/>
    </row>
    <row r="34" spans="1:5" x14ac:dyDescent="0.3">
      <c r="A34" s="6" t="s">
        <v>58</v>
      </c>
      <c r="B34" s="7" t="s">
        <v>55</v>
      </c>
      <c r="C34" s="41">
        <v>45383</v>
      </c>
      <c r="D34" s="25"/>
      <c r="E34" s="90"/>
    </row>
    <row r="35" spans="1:5" x14ac:dyDescent="0.3">
      <c r="A35" s="6" t="s">
        <v>59</v>
      </c>
      <c r="B35" s="7"/>
      <c r="C35" s="41"/>
      <c r="D35" s="25" t="s">
        <v>200</v>
      </c>
      <c r="E35" s="90"/>
    </row>
    <row r="36" spans="1:5" x14ac:dyDescent="0.3">
      <c r="A36" s="6" t="s">
        <v>60</v>
      </c>
      <c r="B36" s="7" t="s">
        <v>61</v>
      </c>
      <c r="C36" s="41">
        <v>0</v>
      </c>
      <c r="D36" s="25" t="s">
        <v>200</v>
      </c>
      <c r="E36" s="90"/>
    </row>
    <row r="37" spans="1:5" x14ac:dyDescent="0.3">
      <c r="A37" s="6" t="s">
        <v>62</v>
      </c>
      <c r="B37" s="7"/>
      <c r="C37" s="41">
        <v>45809</v>
      </c>
      <c r="D37" s="25"/>
      <c r="E37" s="90"/>
    </row>
    <row r="38" spans="1:5" x14ac:dyDescent="0.3">
      <c r="A38" s="6" t="s">
        <v>63</v>
      </c>
      <c r="B38" s="7"/>
      <c r="C38" s="41">
        <v>45809</v>
      </c>
      <c r="D38" s="25"/>
      <c r="E38" s="90"/>
    </row>
    <row r="39" spans="1:5" x14ac:dyDescent="0.3">
      <c r="A39" s="6" t="s">
        <v>64</v>
      </c>
      <c r="B39" s="7"/>
      <c r="C39" s="41">
        <v>45809</v>
      </c>
      <c r="D39" s="25"/>
      <c r="E39" s="90"/>
    </row>
    <row r="40" spans="1:5" x14ac:dyDescent="0.3">
      <c r="A40" s="6" t="s">
        <v>65</v>
      </c>
      <c r="B40" s="7"/>
      <c r="C40" s="41">
        <v>45574</v>
      </c>
      <c r="D40" s="25" t="s">
        <v>201</v>
      </c>
      <c r="E40" s="90"/>
    </row>
    <row r="41" spans="1:5" x14ac:dyDescent="0.3">
      <c r="A41" s="6" t="s">
        <v>66</v>
      </c>
      <c r="B41" s="7"/>
      <c r="C41" s="41"/>
      <c r="D41" s="25" t="s">
        <v>202</v>
      </c>
      <c r="E41" s="90"/>
    </row>
    <row r="42" spans="1:5" x14ac:dyDescent="0.3">
      <c r="A42" s="6" t="s">
        <v>67</v>
      </c>
      <c r="B42" s="7"/>
      <c r="C42" s="41">
        <v>45978</v>
      </c>
      <c r="D42" s="25"/>
      <c r="E42" s="90"/>
    </row>
    <row r="43" spans="1:5" x14ac:dyDescent="0.3">
      <c r="A43" s="6" t="s">
        <v>68</v>
      </c>
      <c r="B43" s="7" t="s">
        <v>69</v>
      </c>
      <c r="C43" s="41">
        <v>45536</v>
      </c>
      <c r="D43" s="25" t="s">
        <v>187</v>
      </c>
      <c r="E43" s="90"/>
    </row>
    <row r="44" spans="1:5" x14ac:dyDescent="0.3">
      <c r="A44" s="6" t="s">
        <v>70</v>
      </c>
      <c r="B44" s="7" t="s">
        <v>69</v>
      </c>
      <c r="C44" s="41">
        <v>45536</v>
      </c>
      <c r="D44" s="25" t="s">
        <v>203</v>
      </c>
      <c r="E44" s="90"/>
    </row>
    <row r="45" spans="1:5" x14ac:dyDescent="0.3">
      <c r="A45" s="6" t="s">
        <v>71</v>
      </c>
      <c r="B45" s="7" t="s">
        <v>72</v>
      </c>
      <c r="C45" s="41">
        <v>0</v>
      </c>
      <c r="D45" s="45" t="s">
        <v>98</v>
      </c>
      <c r="E45" s="90"/>
    </row>
    <row r="46" spans="1:5" ht="15" thickBot="1" x14ac:dyDescent="0.35">
      <c r="A46" s="3" t="s">
        <v>71</v>
      </c>
      <c r="B46" s="5" t="s">
        <v>73</v>
      </c>
      <c r="C46" s="43">
        <v>0</v>
      </c>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w7ASwbylcGXdF031kcQEaTDubgOdl2VeP5tCQQ92REKjNB4mOY/jZ0tR0j61nF0Rwu57egrIGfFcA/LCIjFvSA==" saltValue="aQ63Cecga+GMKGXU45yhUQ=="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143" priority="10">
      <formula>TODAY()-C3&gt;1095</formula>
    </cfRule>
    <cfRule type="expression" dxfId="142" priority="11">
      <formula>TODAY()-C3&lt;=1035</formula>
    </cfRule>
    <cfRule type="expression" dxfId="141" priority="12">
      <formula>AND(TODAY()-C3&gt;1035, TODAY()-C3&lt;=1095)</formula>
    </cfRule>
  </conditionalFormatting>
  <conditionalFormatting sqref="C5:C16 C18:C30 C32:C33 C37:C46">
    <cfRule type="expression" dxfId="140" priority="3">
      <formula>TODAY()-C5&gt;365</formula>
    </cfRule>
    <cfRule type="expression" dxfId="139" priority="13">
      <formula>AND(TODAY()-C5&gt;304, TODAY()-C5&lt;=365)</formula>
    </cfRule>
    <cfRule type="expression" dxfId="138" priority="14">
      <formula>TODAY()-C5&lt;=304</formula>
    </cfRule>
  </conditionalFormatting>
  <conditionalFormatting sqref="C17">
    <cfRule type="expression" dxfId="137" priority="7">
      <formula>TODAY()-C17&lt;=1765</formula>
    </cfRule>
    <cfRule type="expression" dxfId="136" priority="8">
      <formula>AND(TODAY()-C17&gt;1765, TODAY()-C17&lt;=1825)</formula>
    </cfRule>
    <cfRule type="expression" dxfId="135" priority="9">
      <formula>TODAY()-C17&gt;1825</formula>
    </cfRule>
  </conditionalFormatting>
  <conditionalFormatting sqref="C31">
    <cfRule type="expression" dxfId="134" priority="4">
      <formula>TODAY()-C31&lt;=669</formula>
    </cfRule>
    <cfRule type="expression" dxfId="133" priority="5">
      <formula>AND(TODAY()-C31&gt;669, TODAY()-C31&lt;=730)</formula>
    </cfRule>
    <cfRule type="expression" dxfId="132" priority="15">
      <formula>TODAY()-C31&gt;730</formula>
    </cfRule>
  </conditionalFormatting>
  <conditionalFormatting sqref="C35">
    <cfRule type="notContainsBlanks" dxfId="131" priority="1">
      <formula>LEN(TRIM(C35))&gt;0</formula>
    </cfRule>
    <cfRule type="containsBlanks" dxfId="130" priority="2">
      <formula>LEN(TRIM(C35))=0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62AA-C930-42A2-BC8C-498BFF7A9A33}">
  <dimension ref="A1:E51"/>
  <sheetViews>
    <sheetView workbookViewId="0"/>
  </sheetViews>
  <sheetFormatPr baseColWidth="10" defaultColWidth="11.44140625" defaultRowHeight="14.4" x14ac:dyDescent="0.3"/>
  <cols>
    <col min="1" max="1" width="59.109375" bestFit="1" customWidth="1"/>
    <col min="2" max="2" width="23.33203125" bestFit="1" customWidth="1"/>
    <col min="3" max="3" width="21" customWidth="1"/>
    <col min="4" max="4" width="62.109375" bestFit="1" customWidth="1"/>
    <col min="5" max="5" width="31.5546875" bestFit="1" customWidth="1"/>
  </cols>
  <sheetData>
    <row r="1" spans="1:5" ht="14.4" customHeight="1" x14ac:dyDescent="0.3">
      <c r="A1" s="102" t="s">
        <v>0</v>
      </c>
      <c r="B1" s="103"/>
      <c r="C1" s="106" t="s">
        <v>79</v>
      </c>
      <c r="D1" s="108" t="s">
        <v>204</v>
      </c>
      <c r="E1" s="96" t="s">
        <v>81</v>
      </c>
    </row>
    <row r="2" spans="1:5" ht="15" thickBot="1" x14ac:dyDescent="0.35">
      <c r="A2" s="104"/>
      <c r="B2" s="105"/>
      <c r="C2" s="107"/>
      <c r="D2" s="109"/>
      <c r="E2" s="97"/>
    </row>
    <row r="3" spans="1:5" x14ac:dyDescent="0.3">
      <c r="A3" s="2" t="s">
        <v>24</v>
      </c>
      <c r="B3" s="20" t="s">
        <v>25</v>
      </c>
      <c r="C3" s="42" t="s">
        <v>189</v>
      </c>
      <c r="D3" s="44"/>
      <c r="E3" s="89"/>
    </row>
    <row r="4" spans="1:5" x14ac:dyDescent="0.3">
      <c r="A4" s="6" t="s">
        <v>27</v>
      </c>
      <c r="B4" s="7" t="s">
        <v>28</v>
      </c>
      <c r="C4" s="41" t="s">
        <v>26</v>
      </c>
      <c r="D4" s="25"/>
      <c r="E4" s="90"/>
    </row>
    <row r="5" spans="1:5" x14ac:dyDescent="0.3">
      <c r="A5" s="6" t="s">
        <v>29</v>
      </c>
      <c r="B5" s="7" t="s">
        <v>30</v>
      </c>
      <c r="C5" s="41">
        <v>45911</v>
      </c>
      <c r="D5" s="45"/>
      <c r="E5" s="90"/>
    </row>
    <row r="6" spans="1:5" x14ac:dyDescent="0.3">
      <c r="A6" s="6" t="s">
        <v>31</v>
      </c>
      <c r="B6" s="7" t="s">
        <v>30</v>
      </c>
      <c r="C6" s="41">
        <v>45689</v>
      </c>
      <c r="D6" s="45"/>
      <c r="E6" s="90"/>
    </row>
    <row r="7" spans="1:5" x14ac:dyDescent="0.3">
      <c r="A7" s="6" t="s">
        <v>32</v>
      </c>
      <c r="B7" s="7" t="s">
        <v>30</v>
      </c>
      <c r="C7" s="41" t="s">
        <v>26</v>
      </c>
      <c r="D7" s="45"/>
      <c r="E7" s="90"/>
    </row>
    <row r="8" spans="1:5" x14ac:dyDescent="0.3">
      <c r="A8" s="110" t="s">
        <v>33</v>
      </c>
      <c r="B8" s="7">
        <v>1</v>
      </c>
      <c r="C8" s="41">
        <v>45911</v>
      </c>
      <c r="D8" s="46"/>
      <c r="E8" s="90"/>
    </row>
    <row r="9" spans="1:5" x14ac:dyDescent="0.3">
      <c r="A9" s="110"/>
      <c r="B9" s="7">
        <v>2</v>
      </c>
      <c r="C9" s="41">
        <v>46093</v>
      </c>
      <c r="D9" s="45"/>
      <c r="E9" s="90"/>
    </row>
    <row r="10" spans="1:5" x14ac:dyDescent="0.3">
      <c r="A10" s="111" t="s">
        <v>34</v>
      </c>
      <c r="B10" s="7">
        <v>1</v>
      </c>
      <c r="C10" s="41">
        <v>45939</v>
      </c>
      <c r="D10" s="46"/>
      <c r="E10" s="90"/>
    </row>
    <row r="11" spans="1:5" x14ac:dyDescent="0.3">
      <c r="A11" s="112"/>
      <c r="B11" s="7">
        <v>2</v>
      </c>
      <c r="C11" s="41">
        <v>45777</v>
      </c>
      <c r="D11" s="45"/>
      <c r="E11" s="90"/>
    </row>
    <row r="12" spans="1:5" x14ac:dyDescent="0.3">
      <c r="A12" s="15" t="s">
        <v>35</v>
      </c>
      <c r="B12" s="7" t="s">
        <v>36</v>
      </c>
      <c r="C12" s="41">
        <v>45809</v>
      </c>
      <c r="D12" s="45" t="s">
        <v>205</v>
      </c>
      <c r="E12" s="90"/>
    </row>
    <row r="13" spans="1:5" x14ac:dyDescent="0.3">
      <c r="A13" s="6" t="s">
        <v>37</v>
      </c>
      <c r="B13" s="7" t="s">
        <v>38</v>
      </c>
      <c r="C13" s="41">
        <v>45828</v>
      </c>
      <c r="D13" s="45" t="s">
        <v>206</v>
      </c>
      <c r="E13" s="90"/>
    </row>
    <row r="14" spans="1:5" x14ac:dyDescent="0.3">
      <c r="A14" s="6" t="s">
        <v>39</v>
      </c>
      <c r="B14" s="7" t="s">
        <v>38</v>
      </c>
      <c r="C14" s="41" t="s">
        <v>26</v>
      </c>
      <c r="D14" s="45"/>
      <c r="E14" s="90"/>
    </row>
    <row r="15" spans="1:5" x14ac:dyDescent="0.3">
      <c r="A15" s="110" t="s">
        <v>40</v>
      </c>
      <c r="B15" s="7" t="s">
        <v>30</v>
      </c>
      <c r="C15" s="41" t="s">
        <v>26</v>
      </c>
      <c r="D15" s="45"/>
      <c r="E15" s="90"/>
    </row>
    <row r="16" spans="1:5" x14ac:dyDescent="0.3">
      <c r="A16" s="110"/>
      <c r="B16" s="7" t="s">
        <v>38</v>
      </c>
      <c r="C16" s="41" t="s">
        <v>26</v>
      </c>
      <c r="D16" s="45"/>
      <c r="E16" s="90"/>
    </row>
    <row r="17" spans="1:5" x14ac:dyDescent="0.3">
      <c r="A17" s="6" t="s">
        <v>41</v>
      </c>
      <c r="B17" s="7" t="s">
        <v>28</v>
      </c>
      <c r="C17" s="41" t="s">
        <v>26</v>
      </c>
      <c r="D17" s="25"/>
      <c r="E17" s="90"/>
    </row>
    <row r="18" spans="1:5" x14ac:dyDescent="0.3">
      <c r="A18" s="110" t="s">
        <v>42</v>
      </c>
      <c r="B18" s="7" t="s">
        <v>30</v>
      </c>
      <c r="C18" s="41" t="s">
        <v>26</v>
      </c>
      <c r="D18" s="45"/>
      <c r="E18" s="90"/>
    </row>
    <row r="19" spans="1:5" x14ac:dyDescent="0.3">
      <c r="A19" s="110"/>
      <c r="B19" s="7" t="s">
        <v>38</v>
      </c>
      <c r="C19" s="41" t="s">
        <v>26</v>
      </c>
      <c r="D19" s="45"/>
      <c r="E19" s="90"/>
    </row>
    <row r="20" spans="1:5" x14ac:dyDescent="0.3">
      <c r="A20" s="6" t="s">
        <v>43</v>
      </c>
      <c r="B20" s="7" t="s">
        <v>38</v>
      </c>
      <c r="C20" s="41" t="s">
        <v>26</v>
      </c>
      <c r="D20" s="25"/>
      <c r="E20" s="90"/>
    </row>
    <row r="21" spans="1:5" x14ac:dyDescent="0.3">
      <c r="A21" s="6" t="s">
        <v>44</v>
      </c>
      <c r="B21" s="7" t="s">
        <v>30</v>
      </c>
      <c r="C21" s="41" t="s">
        <v>26</v>
      </c>
      <c r="D21" s="25"/>
      <c r="E21" s="90"/>
    </row>
    <row r="22" spans="1:5" x14ac:dyDescent="0.3">
      <c r="A22" s="6" t="s">
        <v>45</v>
      </c>
      <c r="B22" s="7" t="s">
        <v>38</v>
      </c>
      <c r="C22" s="41" t="s">
        <v>26</v>
      </c>
      <c r="D22" s="25"/>
      <c r="E22" s="90"/>
    </row>
    <row r="23" spans="1:5" x14ac:dyDescent="0.3">
      <c r="A23" s="6" t="s">
        <v>46</v>
      </c>
      <c r="B23" s="7" t="s">
        <v>38</v>
      </c>
      <c r="C23" s="41" t="s">
        <v>26</v>
      </c>
      <c r="D23" s="25"/>
      <c r="E23" s="90"/>
    </row>
    <row r="24" spans="1:5" x14ac:dyDescent="0.3">
      <c r="A24" s="6" t="s">
        <v>47</v>
      </c>
      <c r="B24" s="7" t="s">
        <v>48</v>
      </c>
      <c r="C24" s="41">
        <v>0</v>
      </c>
      <c r="D24" s="25" t="s">
        <v>207</v>
      </c>
      <c r="E24" s="90"/>
    </row>
    <row r="25" spans="1:5" x14ac:dyDescent="0.3">
      <c r="A25" s="6" t="s">
        <v>49</v>
      </c>
      <c r="B25" s="7" t="s">
        <v>38</v>
      </c>
      <c r="C25" s="41">
        <v>0</v>
      </c>
      <c r="D25" s="25" t="s">
        <v>208</v>
      </c>
      <c r="E25" s="90"/>
    </row>
    <row r="26" spans="1:5" x14ac:dyDescent="0.3">
      <c r="A26" s="6" t="s">
        <v>50</v>
      </c>
      <c r="B26" s="7" t="s">
        <v>38</v>
      </c>
      <c r="C26" s="41">
        <v>0</v>
      </c>
      <c r="D26" s="25" t="s">
        <v>209</v>
      </c>
      <c r="E26" s="90"/>
    </row>
    <row r="27" spans="1:5" ht="15" customHeight="1" x14ac:dyDescent="0.3">
      <c r="A27" s="110" t="s">
        <v>51</v>
      </c>
      <c r="B27" s="7" t="s">
        <v>30</v>
      </c>
      <c r="C27" s="41" t="s">
        <v>26</v>
      </c>
      <c r="D27" s="25"/>
      <c r="E27" s="90"/>
    </row>
    <row r="28" spans="1:5" ht="15" customHeight="1" x14ac:dyDescent="0.3">
      <c r="A28" s="110"/>
      <c r="B28" s="7" t="s">
        <v>38</v>
      </c>
      <c r="C28" s="41" t="s">
        <v>26</v>
      </c>
      <c r="D28" s="25"/>
      <c r="E28" s="90"/>
    </row>
    <row r="29" spans="1:5" x14ac:dyDescent="0.3">
      <c r="A29" s="6" t="s">
        <v>52</v>
      </c>
      <c r="B29" s="7"/>
      <c r="C29" s="41">
        <v>45809</v>
      </c>
      <c r="D29" s="45"/>
      <c r="E29" s="90"/>
    </row>
    <row r="30" spans="1:5" x14ac:dyDescent="0.3">
      <c r="A30" s="6" t="s">
        <v>53</v>
      </c>
      <c r="B30" s="7"/>
      <c r="C30" s="41">
        <v>0</v>
      </c>
      <c r="D30" s="25" t="s">
        <v>210</v>
      </c>
      <c r="E30" s="90"/>
    </row>
    <row r="31" spans="1:5" x14ac:dyDescent="0.3">
      <c r="A31" s="6" t="s">
        <v>54</v>
      </c>
      <c r="B31" s="7" t="s">
        <v>55</v>
      </c>
      <c r="C31" s="41">
        <v>45627</v>
      </c>
      <c r="D31" s="25" t="s">
        <v>198</v>
      </c>
      <c r="E31" s="90"/>
    </row>
    <row r="32" spans="1:5" x14ac:dyDescent="0.3">
      <c r="A32" s="6" t="s">
        <v>56</v>
      </c>
      <c r="B32" s="7" t="s">
        <v>55</v>
      </c>
      <c r="C32" s="41">
        <v>45627</v>
      </c>
      <c r="D32" s="25" t="s">
        <v>211</v>
      </c>
      <c r="E32" s="90"/>
    </row>
    <row r="33" spans="1:5" x14ac:dyDescent="0.3">
      <c r="A33" s="6" t="s">
        <v>57</v>
      </c>
      <c r="B33" s="7" t="s">
        <v>55</v>
      </c>
      <c r="C33" s="41">
        <v>45911</v>
      </c>
      <c r="D33" s="25"/>
      <c r="E33" s="90"/>
    </row>
    <row r="34" spans="1:5" x14ac:dyDescent="0.3">
      <c r="A34" s="6" t="s">
        <v>58</v>
      </c>
      <c r="B34" s="7" t="s">
        <v>55</v>
      </c>
      <c r="C34" s="41">
        <v>45383</v>
      </c>
      <c r="D34" s="25"/>
      <c r="E34" s="90"/>
    </row>
    <row r="35" spans="1:5" x14ac:dyDescent="0.3">
      <c r="A35" s="6" t="s">
        <v>59</v>
      </c>
      <c r="B35" s="7"/>
      <c r="C35" s="41"/>
      <c r="D35" s="25" t="s">
        <v>210</v>
      </c>
      <c r="E35" s="90"/>
    </row>
    <row r="36" spans="1:5" x14ac:dyDescent="0.3">
      <c r="A36" s="6" t="s">
        <v>60</v>
      </c>
      <c r="B36" s="7" t="s">
        <v>61</v>
      </c>
      <c r="C36" s="41">
        <v>0</v>
      </c>
      <c r="D36" s="25" t="s">
        <v>210</v>
      </c>
      <c r="E36" s="90"/>
    </row>
    <row r="37" spans="1:5" x14ac:dyDescent="0.3">
      <c r="A37" s="6" t="s">
        <v>62</v>
      </c>
      <c r="B37" s="7"/>
      <c r="C37" s="41">
        <v>44562</v>
      </c>
      <c r="D37" s="25"/>
      <c r="E37" s="90"/>
    </row>
    <row r="38" spans="1:5" x14ac:dyDescent="0.3">
      <c r="A38" s="6" t="s">
        <v>63</v>
      </c>
      <c r="B38" s="7"/>
      <c r="C38" s="41">
        <v>44562</v>
      </c>
      <c r="D38" s="25"/>
      <c r="E38" s="90"/>
    </row>
    <row r="39" spans="1:5" x14ac:dyDescent="0.3">
      <c r="A39" s="6" t="s">
        <v>64</v>
      </c>
      <c r="B39" s="7"/>
      <c r="C39" s="41">
        <v>44562</v>
      </c>
      <c r="D39" s="25"/>
      <c r="E39" s="90"/>
    </row>
    <row r="40" spans="1:5" x14ac:dyDescent="0.3">
      <c r="A40" s="6" t="s">
        <v>65</v>
      </c>
      <c r="B40" s="7"/>
      <c r="C40" s="41">
        <v>45574</v>
      </c>
      <c r="D40" s="25"/>
      <c r="E40" s="90"/>
    </row>
    <row r="41" spans="1:5" x14ac:dyDescent="0.3">
      <c r="A41" s="6" t="s">
        <v>66</v>
      </c>
      <c r="B41" s="7"/>
      <c r="C41" s="41" t="s">
        <v>26</v>
      </c>
      <c r="D41" s="25"/>
      <c r="E41" s="90"/>
    </row>
    <row r="42" spans="1:5" x14ac:dyDescent="0.3">
      <c r="A42" s="6" t="s">
        <v>67</v>
      </c>
      <c r="B42" s="7"/>
      <c r="C42" s="41">
        <v>45978</v>
      </c>
      <c r="D42" s="25"/>
      <c r="E42" s="90"/>
    </row>
    <row r="43" spans="1:5" x14ac:dyDescent="0.3">
      <c r="A43" s="6" t="s">
        <v>68</v>
      </c>
      <c r="B43" s="7" t="s">
        <v>69</v>
      </c>
      <c r="C43" s="41">
        <v>45536</v>
      </c>
      <c r="D43" s="25" t="s">
        <v>187</v>
      </c>
      <c r="E43" s="90"/>
    </row>
    <row r="44" spans="1:5" x14ac:dyDescent="0.3">
      <c r="A44" s="6" t="s">
        <v>70</v>
      </c>
      <c r="B44" s="7" t="s">
        <v>69</v>
      </c>
      <c r="C44" s="41">
        <v>45536</v>
      </c>
      <c r="D44" s="25" t="s">
        <v>203</v>
      </c>
      <c r="E44" s="90"/>
    </row>
    <row r="45" spans="1:5" x14ac:dyDescent="0.3">
      <c r="A45" s="6" t="s">
        <v>71</v>
      </c>
      <c r="B45" s="7" t="s">
        <v>72</v>
      </c>
      <c r="C45" s="41">
        <v>0</v>
      </c>
      <c r="D45" s="45" t="s">
        <v>98</v>
      </c>
      <c r="E45" s="90"/>
    </row>
    <row r="46" spans="1:5" ht="15" thickBot="1" x14ac:dyDescent="0.35">
      <c r="A46" s="3" t="s">
        <v>71</v>
      </c>
      <c r="B46" s="5" t="s">
        <v>73</v>
      </c>
      <c r="C46" s="43">
        <v>0</v>
      </c>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OwW8P+njdiHAmr3YzcEFQ2mT3Kt9uHlpro7U+DFqQi5lQxU8z2IrXiJclmJ4N/SWxvA6PbW91WtJYmiKKHJ92g==" saltValue="IhorXfxSXUzcFoAsHMdXLA=="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129" priority="10">
      <formula>TODAY()-C3&gt;1095</formula>
    </cfRule>
    <cfRule type="expression" dxfId="128" priority="11">
      <formula>TODAY()-C3&lt;=1035</formula>
    </cfRule>
    <cfRule type="expression" dxfId="127" priority="12">
      <formula>AND(TODAY()-C3&gt;1035, TODAY()-C3&lt;=1095)</formula>
    </cfRule>
  </conditionalFormatting>
  <conditionalFormatting sqref="C5:C16 C18:C30 C32:C33 C37:C46">
    <cfRule type="expression" dxfId="126" priority="3">
      <formula>TODAY()-C5&gt;365</formula>
    </cfRule>
    <cfRule type="expression" dxfId="125" priority="13">
      <formula>AND(TODAY()-C5&gt;304, TODAY()-C5&lt;=365)</formula>
    </cfRule>
    <cfRule type="expression" dxfId="124" priority="14">
      <formula>TODAY()-C5&lt;=304</formula>
    </cfRule>
  </conditionalFormatting>
  <conditionalFormatting sqref="C17">
    <cfRule type="expression" dxfId="123" priority="7">
      <formula>TODAY()-C17&lt;=1765</formula>
    </cfRule>
    <cfRule type="expression" dxfId="122" priority="8">
      <formula>AND(TODAY()-C17&gt;1765, TODAY()-C17&lt;=1825)</formula>
    </cfRule>
    <cfRule type="expression" dxfId="121" priority="9">
      <formula>TODAY()-C17&gt;1825</formula>
    </cfRule>
  </conditionalFormatting>
  <conditionalFormatting sqref="C31">
    <cfRule type="expression" dxfId="120" priority="4">
      <formula>TODAY()-C31&lt;=669</formula>
    </cfRule>
    <cfRule type="expression" dxfId="119" priority="5">
      <formula>AND(TODAY()-C31&gt;669, TODAY()-C31&lt;=730)</formula>
    </cfRule>
    <cfRule type="expression" dxfId="118" priority="15">
      <formula>TODAY()-C31&gt;730</formula>
    </cfRule>
  </conditionalFormatting>
  <conditionalFormatting sqref="C35">
    <cfRule type="notContainsBlanks" dxfId="117" priority="1">
      <formula>LEN(TRIM(C35))&gt;0</formula>
    </cfRule>
    <cfRule type="containsBlanks" dxfId="116" priority="2">
      <formula>LEN(TRIM(C35))=0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EEF20-3AE9-40D6-B563-DE760F7C6AB3}">
  <dimension ref="A1:E51"/>
  <sheetViews>
    <sheetView workbookViewId="0">
      <selection activeCell="C10" sqref="C10"/>
    </sheetView>
  </sheetViews>
  <sheetFormatPr baseColWidth="10" defaultColWidth="11.44140625" defaultRowHeight="14.4" x14ac:dyDescent="0.3"/>
  <cols>
    <col min="1" max="1" width="59.109375" bestFit="1" customWidth="1"/>
    <col min="2" max="2" width="23.33203125" bestFit="1" customWidth="1"/>
    <col min="3" max="3" width="21" customWidth="1"/>
    <col min="4" max="4" width="72.5546875" bestFit="1" customWidth="1"/>
    <col min="5" max="5" width="31.5546875" bestFit="1" customWidth="1"/>
  </cols>
  <sheetData>
    <row r="1" spans="1:5" ht="14.4" customHeight="1" x14ac:dyDescent="0.3">
      <c r="A1" s="102" t="s">
        <v>0</v>
      </c>
      <c r="B1" s="103"/>
      <c r="C1" s="106" t="s">
        <v>79</v>
      </c>
      <c r="D1" s="108" t="s">
        <v>212</v>
      </c>
      <c r="E1" s="96" t="s">
        <v>81</v>
      </c>
    </row>
    <row r="2" spans="1:5" ht="15" thickBot="1" x14ac:dyDescent="0.35">
      <c r="A2" s="104"/>
      <c r="B2" s="105"/>
      <c r="C2" s="107"/>
      <c r="D2" s="109"/>
      <c r="E2" s="97"/>
    </row>
    <row r="3" spans="1:5" x14ac:dyDescent="0.3">
      <c r="A3" s="2" t="s">
        <v>24</v>
      </c>
      <c r="B3" s="20" t="s">
        <v>25</v>
      </c>
      <c r="C3" s="42" t="s">
        <v>189</v>
      </c>
      <c r="D3" s="23"/>
      <c r="E3" s="89"/>
    </row>
    <row r="4" spans="1:5" x14ac:dyDescent="0.3">
      <c r="A4" s="6" t="s">
        <v>27</v>
      </c>
      <c r="B4" s="7" t="s">
        <v>28</v>
      </c>
      <c r="C4" s="41" t="s">
        <v>26</v>
      </c>
      <c r="D4" s="13"/>
      <c r="E4" s="90"/>
    </row>
    <row r="5" spans="1:5" x14ac:dyDescent="0.3">
      <c r="A5" s="6" t="s">
        <v>29</v>
      </c>
      <c r="B5" s="7" t="s">
        <v>30</v>
      </c>
      <c r="C5" s="41">
        <v>45911</v>
      </c>
      <c r="D5" s="26"/>
      <c r="E5" s="90"/>
    </row>
    <row r="6" spans="1:5" x14ac:dyDescent="0.3">
      <c r="A6" s="6" t="s">
        <v>31</v>
      </c>
      <c r="B6" s="7" t="s">
        <v>30</v>
      </c>
      <c r="C6" s="41">
        <v>45689</v>
      </c>
      <c r="D6" s="26"/>
      <c r="E6" s="90"/>
    </row>
    <row r="7" spans="1:5" x14ac:dyDescent="0.3">
      <c r="A7" s="6" t="s">
        <v>32</v>
      </c>
      <c r="B7" s="7" t="s">
        <v>30</v>
      </c>
      <c r="C7" s="41" t="s">
        <v>26</v>
      </c>
      <c r="D7" s="24"/>
      <c r="E7" s="90"/>
    </row>
    <row r="8" spans="1:5" x14ac:dyDescent="0.3">
      <c r="A8" s="110" t="s">
        <v>33</v>
      </c>
      <c r="B8" s="7">
        <v>1</v>
      </c>
      <c r="C8" s="41">
        <v>45911</v>
      </c>
      <c r="D8" s="22"/>
      <c r="E8" s="90"/>
    </row>
    <row r="9" spans="1:5" x14ac:dyDescent="0.3">
      <c r="A9" s="110"/>
      <c r="B9" s="7">
        <v>2</v>
      </c>
      <c r="C9" s="41">
        <v>46093</v>
      </c>
      <c r="D9" s="26"/>
      <c r="E9" s="90"/>
    </row>
    <row r="10" spans="1:5" x14ac:dyDescent="0.3">
      <c r="A10" s="111" t="s">
        <v>34</v>
      </c>
      <c r="B10" s="7">
        <v>1</v>
      </c>
      <c r="C10" s="41">
        <v>45939</v>
      </c>
      <c r="D10" s="22"/>
      <c r="E10" s="90"/>
    </row>
    <row r="11" spans="1:5" x14ac:dyDescent="0.3">
      <c r="A11" s="112"/>
      <c r="B11" s="7">
        <v>2</v>
      </c>
      <c r="C11" s="41">
        <v>45750</v>
      </c>
      <c r="D11" s="26"/>
      <c r="E11" s="90"/>
    </row>
    <row r="12" spans="1:5" x14ac:dyDescent="0.3">
      <c r="A12" s="15" t="s">
        <v>35</v>
      </c>
      <c r="B12" s="7" t="s">
        <v>36</v>
      </c>
      <c r="C12" s="41">
        <v>45809</v>
      </c>
      <c r="D12" s="26" t="s">
        <v>213</v>
      </c>
      <c r="E12" s="90"/>
    </row>
    <row r="13" spans="1:5" x14ac:dyDescent="0.3">
      <c r="A13" s="6" t="s">
        <v>37</v>
      </c>
      <c r="B13" s="7" t="s">
        <v>38</v>
      </c>
      <c r="C13" s="41">
        <v>45715</v>
      </c>
      <c r="D13" s="26" t="s">
        <v>214</v>
      </c>
      <c r="E13" s="90"/>
    </row>
    <row r="14" spans="1:5" x14ac:dyDescent="0.3">
      <c r="A14" s="6" t="s">
        <v>39</v>
      </c>
      <c r="B14" s="7" t="s">
        <v>38</v>
      </c>
      <c r="C14" s="41" t="s">
        <v>26</v>
      </c>
      <c r="D14" s="24"/>
      <c r="E14" s="90"/>
    </row>
    <row r="15" spans="1:5" x14ac:dyDescent="0.3">
      <c r="A15" s="110" t="s">
        <v>40</v>
      </c>
      <c r="B15" s="7" t="s">
        <v>30</v>
      </c>
      <c r="C15" s="41" t="s">
        <v>26</v>
      </c>
      <c r="D15" s="24"/>
      <c r="E15" s="90"/>
    </row>
    <row r="16" spans="1:5" x14ac:dyDescent="0.3">
      <c r="A16" s="110"/>
      <c r="B16" s="7" t="s">
        <v>38</v>
      </c>
      <c r="C16" s="41" t="s">
        <v>26</v>
      </c>
      <c r="D16" s="24"/>
      <c r="E16" s="90"/>
    </row>
    <row r="17" spans="1:5" x14ac:dyDescent="0.3">
      <c r="A17" s="6" t="s">
        <v>41</v>
      </c>
      <c r="B17" s="7" t="s">
        <v>28</v>
      </c>
      <c r="C17" s="41" t="s">
        <v>26</v>
      </c>
      <c r="D17" s="13"/>
      <c r="E17" s="90"/>
    </row>
    <row r="18" spans="1:5" x14ac:dyDescent="0.3">
      <c r="A18" s="110" t="s">
        <v>42</v>
      </c>
      <c r="B18" s="7" t="s">
        <v>30</v>
      </c>
      <c r="C18" s="41" t="s">
        <v>26</v>
      </c>
      <c r="D18" s="24"/>
      <c r="E18" s="90"/>
    </row>
    <row r="19" spans="1:5" x14ac:dyDescent="0.3">
      <c r="A19" s="110"/>
      <c r="B19" s="7" t="s">
        <v>38</v>
      </c>
      <c r="C19" s="41" t="s">
        <v>26</v>
      </c>
      <c r="D19" s="24"/>
      <c r="E19" s="90"/>
    </row>
    <row r="20" spans="1:5" x14ac:dyDescent="0.3">
      <c r="A20" s="6" t="s">
        <v>43</v>
      </c>
      <c r="B20" s="7" t="s">
        <v>38</v>
      </c>
      <c r="C20" s="41" t="s">
        <v>26</v>
      </c>
      <c r="D20" s="13"/>
      <c r="E20" s="90"/>
    </row>
    <row r="21" spans="1:5" x14ac:dyDescent="0.3">
      <c r="A21" s="6" t="s">
        <v>44</v>
      </c>
      <c r="B21" s="7" t="s">
        <v>30</v>
      </c>
      <c r="C21" s="41" t="s">
        <v>26</v>
      </c>
      <c r="D21" s="13"/>
      <c r="E21" s="90"/>
    </row>
    <row r="22" spans="1:5" x14ac:dyDescent="0.3">
      <c r="A22" s="6" t="s">
        <v>45</v>
      </c>
      <c r="B22" s="7" t="s">
        <v>38</v>
      </c>
      <c r="C22" s="41" t="s">
        <v>26</v>
      </c>
      <c r="D22" s="13"/>
      <c r="E22" s="90"/>
    </row>
    <row r="23" spans="1:5" x14ac:dyDescent="0.3">
      <c r="A23" s="6" t="s">
        <v>46</v>
      </c>
      <c r="B23" s="7" t="s">
        <v>38</v>
      </c>
      <c r="C23" s="41" t="s">
        <v>26</v>
      </c>
      <c r="D23" s="13"/>
      <c r="E23" s="90"/>
    </row>
    <row r="24" spans="1:5" x14ac:dyDescent="0.3">
      <c r="A24" s="6" t="s">
        <v>47</v>
      </c>
      <c r="B24" s="7" t="s">
        <v>48</v>
      </c>
      <c r="C24" s="41" t="s">
        <v>26</v>
      </c>
      <c r="D24" s="13"/>
      <c r="E24" s="90"/>
    </row>
    <row r="25" spans="1:5" x14ac:dyDescent="0.3">
      <c r="A25" s="6" t="s">
        <v>49</v>
      </c>
      <c r="B25" s="7" t="s">
        <v>38</v>
      </c>
      <c r="C25" s="41" t="s">
        <v>26</v>
      </c>
      <c r="D25" s="13"/>
      <c r="E25" s="90"/>
    </row>
    <row r="26" spans="1:5" x14ac:dyDescent="0.3">
      <c r="A26" s="6" t="s">
        <v>50</v>
      </c>
      <c r="B26" s="7" t="s">
        <v>38</v>
      </c>
      <c r="C26" s="41" t="s">
        <v>26</v>
      </c>
      <c r="D26" s="13"/>
      <c r="E26" s="90"/>
    </row>
    <row r="27" spans="1:5" ht="15" customHeight="1" x14ac:dyDescent="0.3">
      <c r="A27" s="110" t="s">
        <v>51</v>
      </c>
      <c r="B27" s="7" t="s">
        <v>30</v>
      </c>
      <c r="C27" s="41" t="s">
        <v>26</v>
      </c>
      <c r="D27" s="13"/>
      <c r="E27" s="90"/>
    </row>
    <row r="28" spans="1:5" ht="15" customHeight="1" x14ac:dyDescent="0.3">
      <c r="A28" s="110"/>
      <c r="B28" s="7" t="s">
        <v>38</v>
      </c>
      <c r="C28" s="41" t="s">
        <v>26</v>
      </c>
      <c r="D28" s="13"/>
      <c r="E28" s="90"/>
    </row>
    <row r="29" spans="1:5" x14ac:dyDescent="0.3">
      <c r="A29" s="6" t="s">
        <v>52</v>
      </c>
      <c r="B29" s="7"/>
      <c r="C29" s="41">
        <v>0</v>
      </c>
      <c r="D29" s="26"/>
      <c r="E29" s="90"/>
    </row>
    <row r="30" spans="1:5" x14ac:dyDescent="0.3">
      <c r="A30" s="6" t="s">
        <v>53</v>
      </c>
      <c r="B30" s="7"/>
      <c r="C30" s="41">
        <v>0</v>
      </c>
      <c r="D30" s="25"/>
      <c r="E30" s="90"/>
    </row>
    <row r="31" spans="1:5" x14ac:dyDescent="0.3">
      <c r="A31" s="6" t="s">
        <v>54</v>
      </c>
      <c r="B31" s="7" t="s">
        <v>55</v>
      </c>
      <c r="C31" s="41">
        <v>0</v>
      </c>
      <c r="D31" s="25" t="s">
        <v>215</v>
      </c>
      <c r="E31" s="90"/>
    </row>
    <row r="32" spans="1:5" x14ac:dyDescent="0.3">
      <c r="A32" s="6" t="s">
        <v>56</v>
      </c>
      <c r="B32" s="7" t="s">
        <v>55</v>
      </c>
      <c r="C32" s="41">
        <v>45627</v>
      </c>
      <c r="D32" s="25" t="s">
        <v>211</v>
      </c>
      <c r="E32" s="90"/>
    </row>
    <row r="33" spans="1:5" x14ac:dyDescent="0.3">
      <c r="A33" s="6" t="s">
        <v>57</v>
      </c>
      <c r="B33" s="7" t="s">
        <v>55</v>
      </c>
      <c r="C33" s="41">
        <v>0</v>
      </c>
      <c r="D33" s="25" t="s">
        <v>216</v>
      </c>
      <c r="E33" s="90"/>
    </row>
    <row r="34" spans="1:5" x14ac:dyDescent="0.3">
      <c r="A34" s="6" t="s">
        <v>58</v>
      </c>
      <c r="B34" s="7" t="s">
        <v>55</v>
      </c>
      <c r="C34" s="41">
        <v>45383</v>
      </c>
      <c r="D34" s="25"/>
      <c r="E34" s="90"/>
    </row>
    <row r="35" spans="1:5" x14ac:dyDescent="0.3">
      <c r="A35" s="6" t="s">
        <v>59</v>
      </c>
      <c r="B35" s="7"/>
      <c r="C35" s="41">
        <v>0</v>
      </c>
      <c r="D35" s="25" t="s">
        <v>217</v>
      </c>
      <c r="E35" s="90"/>
    </row>
    <row r="36" spans="1:5" x14ac:dyDescent="0.3">
      <c r="A36" s="6" t="s">
        <v>60</v>
      </c>
      <c r="B36" s="7" t="s">
        <v>61</v>
      </c>
      <c r="C36" s="41">
        <v>0</v>
      </c>
      <c r="D36" s="25" t="s">
        <v>217</v>
      </c>
      <c r="E36" s="90"/>
    </row>
    <row r="37" spans="1:5" x14ac:dyDescent="0.3">
      <c r="A37" s="6" t="s">
        <v>62</v>
      </c>
      <c r="B37" s="7"/>
      <c r="C37" s="41" t="s">
        <v>26</v>
      </c>
      <c r="D37" s="13"/>
      <c r="E37" s="90"/>
    </row>
    <row r="38" spans="1:5" x14ac:dyDescent="0.3">
      <c r="A38" s="6" t="s">
        <v>63</v>
      </c>
      <c r="B38" s="7"/>
      <c r="C38" s="41">
        <v>44470</v>
      </c>
      <c r="D38" s="25"/>
      <c r="E38" s="90"/>
    </row>
    <row r="39" spans="1:5" x14ac:dyDescent="0.3">
      <c r="A39" s="6" t="s">
        <v>64</v>
      </c>
      <c r="B39" s="7"/>
      <c r="C39" s="41">
        <v>44470</v>
      </c>
      <c r="D39" s="25"/>
      <c r="E39" s="90"/>
    </row>
    <row r="40" spans="1:5" x14ac:dyDescent="0.3">
      <c r="A40" s="6" t="s">
        <v>65</v>
      </c>
      <c r="B40" s="7"/>
      <c r="C40" s="41">
        <v>45574</v>
      </c>
      <c r="D40" s="25"/>
      <c r="E40" s="90"/>
    </row>
    <row r="41" spans="1:5" x14ac:dyDescent="0.3">
      <c r="A41" s="6" t="s">
        <v>66</v>
      </c>
      <c r="B41" s="7"/>
      <c r="C41" s="41" t="s">
        <v>26</v>
      </c>
      <c r="D41" s="13"/>
      <c r="E41" s="90"/>
    </row>
    <row r="42" spans="1:5" x14ac:dyDescent="0.3">
      <c r="A42" s="6" t="s">
        <v>67</v>
      </c>
      <c r="B42" s="7"/>
      <c r="C42" s="41">
        <v>45978</v>
      </c>
      <c r="D42" s="25"/>
      <c r="E42" s="90"/>
    </row>
    <row r="43" spans="1:5" x14ac:dyDescent="0.3">
      <c r="A43" s="6" t="s">
        <v>68</v>
      </c>
      <c r="B43" s="7" t="s">
        <v>69</v>
      </c>
      <c r="C43" s="41">
        <v>45536</v>
      </c>
      <c r="D43" s="25" t="s">
        <v>187</v>
      </c>
      <c r="E43" s="90"/>
    </row>
    <row r="44" spans="1:5" x14ac:dyDescent="0.3">
      <c r="A44" s="6" t="s">
        <v>70</v>
      </c>
      <c r="B44" s="7" t="s">
        <v>69</v>
      </c>
      <c r="C44" s="41">
        <v>45536</v>
      </c>
      <c r="D44" s="25" t="s">
        <v>203</v>
      </c>
      <c r="E44" s="90"/>
    </row>
    <row r="45" spans="1:5" x14ac:dyDescent="0.3">
      <c r="A45" s="6" t="s">
        <v>71</v>
      </c>
      <c r="B45" s="7" t="s">
        <v>72</v>
      </c>
      <c r="C45" s="41">
        <v>0</v>
      </c>
      <c r="D45" s="26" t="s">
        <v>98</v>
      </c>
      <c r="E45" s="90"/>
    </row>
    <row r="46" spans="1:5" ht="15" thickBot="1" x14ac:dyDescent="0.35">
      <c r="A46" s="3" t="s">
        <v>71</v>
      </c>
      <c r="B46" s="5" t="s">
        <v>73</v>
      </c>
      <c r="C46" s="43">
        <v>0</v>
      </c>
      <c r="D46" s="26"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Yu8ZjFdAl0u/DBxeCE56iWLVYT54G8jaB/AiW1V05d709ScEKnE4N+VgJ+xAlFLJ7J0IruweXnkEElAThZnRKQ==" saltValue="EWdfJMdQUnxdk6pmiLT8xw=="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115" priority="10">
      <formula>TODAY()-C3&gt;1095</formula>
    </cfRule>
    <cfRule type="expression" dxfId="114" priority="11">
      <formula>TODAY()-C3&lt;=1035</formula>
    </cfRule>
    <cfRule type="expression" dxfId="113" priority="12">
      <formula>AND(TODAY()-C3&gt;1035, TODAY()-C3&lt;=1095)</formula>
    </cfRule>
  </conditionalFormatting>
  <conditionalFormatting sqref="C5:C16 C18:C30 C32:C33 C37:C46">
    <cfRule type="expression" dxfId="112" priority="3">
      <formula>TODAY()-C5&gt;365</formula>
    </cfRule>
    <cfRule type="expression" dxfId="111" priority="13">
      <formula>AND(TODAY()-C5&gt;304, TODAY()-C5&lt;=365)</formula>
    </cfRule>
    <cfRule type="expression" dxfId="110" priority="14">
      <formula>TODAY()-C5&lt;=304</formula>
    </cfRule>
  </conditionalFormatting>
  <conditionalFormatting sqref="C17">
    <cfRule type="expression" dxfId="109" priority="7">
      <formula>TODAY()-C17&lt;=1765</formula>
    </cfRule>
    <cfRule type="expression" dxfId="108" priority="8">
      <formula>AND(TODAY()-C17&gt;1765, TODAY()-C17&lt;=1825)</formula>
    </cfRule>
    <cfRule type="expression" dxfId="107" priority="9">
      <formula>TODAY()-C17&gt;1825</formula>
    </cfRule>
  </conditionalFormatting>
  <conditionalFormatting sqref="C31">
    <cfRule type="expression" dxfId="106" priority="4">
      <formula>TODAY()-C31&lt;=669</formula>
    </cfRule>
    <cfRule type="expression" dxfId="105" priority="5">
      <formula>AND(TODAY()-C31&gt;669, TODAY()-C31&lt;=730)</formula>
    </cfRule>
    <cfRule type="expression" dxfId="104" priority="15">
      <formula>TODAY()-C31&gt;730</formula>
    </cfRule>
  </conditionalFormatting>
  <conditionalFormatting sqref="C35">
    <cfRule type="notContainsBlanks" dxfId="103" priority="1">
      <formula>LEN(TRIM(C35))&gt;0</formula>
    </cfRule>
    <cfRule type="containsBlanks" dxfId="102" priority="2">
      <formula>LEN(TRIM(C35))=0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A46F-DC1A-4A53-A8FF-D33AB1EC4641}">
  <sheetPr>
    <pageSetUpPr fitToPage="1"/>
  </sheetPr>
  <dimension ref="A1:E51"/>
  <sheetViews>
    <sheetView topLeftCell="A15" workbookViewId="0">
      <selection activeCell="D28" sqref="D28"/>
    </sheetView>
  </sheetViews>
  <sheetFormatPr baseColWidth="10" defaultColWidth="11.44140625" defaultRowHeight="14.4" x14ac:dyDescent="0.3"/>
  <cols>
    <col min="1" max="1" width="59.109375" bestFit="1" customWidth="1"/>
    <col min="2" max="2" width="23.33203125" bestFit="1" customWidth="1"/>
    <col min="3" max="3" width="21" customWidth="1"/>
    <col min="4" max="4" width="175.6640625" bestFit="1" customWidth="1"/>
    <col min="5" max="5" width="31.5546875" bestFit="1" customWidth="1"/>
  </cols>
  <sheetData>
    <row r="1" spans="1:5" ht="28.95" customHeight="1" x14ac:dyDescent="0.3">
      <c r="A1" s="102" t="s">
        <v>0</v>
      </c>
      <c r="B1" s="103"/>
      <c r="C1" s="106" t="s">
        <v>79</v>
      </c>
      <c r="D1" s="108" t="s">
        <v>218</v>
      </c>
      <c r="E1" s="96" t="s">
        <v>81</v>
      </c>
    </row>
    <row r="2" spans="1:5" ht="15" thickBot="1" x14ac:dyDescent="0.35">
      <c r="A2" s="104"/>
      <c r="B2" s="105"/>
      <c r="C2" s="107"/>
      <c r="D2" s="109"/>
      <c r="E2" s="97"/>
    </row>
    <row r="3" spans="1:5" x14ac:dyDescent="0.3">
      <c r="A3" s="2" t="s">
        <v>24</v>
      </c>
      <c r="B3" s="20" t="s">
        <v>189</v>
      </c>
      <c r="C3" s="42" t="s">
        <v>189</v>
      </c>
      <c r="D3" s="44"/>
      <c r="E3" s="89"/>
    </row>
    <row r="4" spans="1:5" x14ac:dyDescent="0.3">
      <c r="A4" s="6" t="s">
        <v>27</v>
      </c>
      <c r="B4" s="7" t="s">
        <v>28</v>
      </c>
      <c r="C4" s="41" t="s">
        <v>26</v>
      </c>
      <c r="D4" s="25"/>
      <c r="E4" s="90"/>
    </row>
    <row r="5" spans="1:5" x14ac:dyDescent="0.3">
      <c r="A5" s="6" t="s">
        <v>29</v>
      </c>
      <c r="B5" s="7" t="s">
        <v>30</v>
      </c>
      <c r="C5" s="41">
        <v>45566</v>
      </c>
      <c r="D5" s="45"/>
      <c r="E5" s="90"/>
    </row>
    <row r="6" spans="1:5" x14ac:dyDescent="0.3">
      <c r="A6" s="6" t="s">
        <v>31</v>
      </c>
      <c r="B6" s="7" t="s">
        <v>30</v>
      </c>
      <c r="C6" s="41">
        <v>45536</v>
      </c>
      <c r="D6" s="45"/>
      <c r="E6" s="90"/>
    </row>
    <row r="7" spans="1:5" x14ac:dyDescent="0.3">
      <c r="A7" s="6" t="s">
        <v>32</v>
      </c>
      <c r="B7" s="7" t="s">
        <v>30</v>
      </c>
      <c r="C7" s="41" t="s">
        <v>26</v>
      </c>
      <c r="D7" s="45"/>
      <c r="E7" s="90"/>
    </row>
    <row r="8" spans="1:5" ht="15" customHeight="1" x14ac:dyDescent="0.3">
      <c r="A8" s="110" t="s">
        <v>33</v>
      </c>
      <c r="B8" s="7">
        <v>1</v>
      </c>
      <c r="C8" s="41">
        <v>45925</v>
      </c>
      <c r="D8" s="46"/>
      <c r="E8" s="90"/>
    </row>
    <row r="9" spans="1:5" ht="15" customHeight="1" x14ac:dyDescent="0.3">
      <c r="A9" s="110"/>
      <c r="B9" s="7">
        <v>2</v>
      </c>
      <c r="C9" s="41">
        <v>0</v>
      </c>
      <c r="D9" s="45" t="s">
        <v>219</v>
      </c>
      <c r="E9" s="90"/>
    </row>
    <row r="10" spans="1:5" ht="15" customHeight="1" x14ac:dyDescent="0.3">
      <c r="A10" s="111" t="s">
        <v>34</v>
      </c>
      <c r="B10" s="7">
        <v>1</v>
      </c>
      <c r="C10" s="41">
        <v>0</v>
      </c>
      <c r="D10" s="46" t="s">
        <v>220</v>
      </c>
      <c r="E10" s="90"/>
    </row>
    <row r="11" spans="1:5" ht="15" customHeight="1" x14ac:dyDescent="0.3">
      <c r="A11" s="112"/>
      <c r="B11" s="7">
        <v>2</v>
      </c>
      <c r="C11" s="41">
        <v>0</v>
      </c>
      <c r="D11" s="45"/>
      <c r="E11" s="90"/>
    </row>
    <row r="12" spans="1:5" x14ac:dyDescent="0.3">
      <c r="A12" s="15" t="s">
        <v>35</v>
      </c>
      <c r="B12" s="7" t="s">
        <v>36</v>
      </c>
      <c r="C12" s="41">
        <v>45809</v>
      </c>
      <c r="D12" s="45" t="s">
        <v>221</v>
      </c>
      <c r="E12" s="90"/>
    </row>
    <row r="13" spans="1:5" x14ac:dyDescent="0.3">
      <c r="A13" s="6" t="s">
        <v>37</v>
      </c>
      <c r="B13" s="7" t="s">
        <v>38</v>
      </c>
      <c r="C13" s="41">
        <v>45898</v>
      </c>
      <c r="D13" s="45" t="s">
        <v>222</v>
      </c>
      <c r="E13" s="90"/>
    </row>
    <row r="14" spans="1:5" x14ac:dyDescent="0.3">
      <c r="A14" s="6" t="s">
        <v>39</v>
      </c>
      <c r="B14" s="7" t="s">
        <v>38</v>
      </c>
      <c r="C14" s="41" t="s">
        <v>26</v>
      </c>
      <c r="D14" s="45"/>
      <c r="E14" s="90"/>
    </row>
    <row r="15" spans="1:5" ht="15" customHeight="1" x14ac:dyDescent="0.3">
      <c r="A15" s="110" t="s">
        <v>40</v>
      </c>
      <c r="B15" s="7" t="s">
        <v>30</v>
      </c>
      <c r="C15" s="41" t="s">
        <v>26</v>
      </c>
      <c r="D15" s="45"/>
      <c r="E15" s="90"/>
    </row>
    <row r="16" spans="1:5" ht="15" customHeight="1" x14ac:dyDescent="0.3">
      <c r="A16" s="110"/>
      <c r="B16" s="7" t="s">
        <v>38</v>
      </c>
      <c r="C16" s="41" t="s">
        <v>26</v>
      </c>
      <c r="D16" s="45"/>
      <c r="E16" s="90"/>
    </row>
    <row r="17" spans="1:5" x14ac:dyDescent="0.3">
      <c r="A17" s="6" t="s">
        <v>41</v>
      </c>
      <c r="B17" s="7" t="s">
        <v>28</v>
      </c>
      <c r="C17" s="41" t="s">
        <v>26</v>
      </c>
      <c r="D17" s="25"/>
      <c r="E17" s="90"/>
    </row>
    <row r="18" spans="1:5" ht="15" customHeight="1" x14ac:dyDescent="0.3">
      <c r="A18" s="110" t="s">
        <v>42</v>
      </c>
      <c r="B18" s="7" t="s">
        <v>30</v>
      </c>
      <c r="C18" s="41" t="s">
        <v>26</v>
      </c>
      <c r="D18" s="45"/>
      <c r="E18" s="90"/>
    </row>
    <row r="19" spans="1:5" ht="15" customHeight="1" x14ac:dyDescent="0.3">
      <c r="A19" s="110"/>
      <c r="B19" s="7" t="s">
        <v>38</v>
      </c>
      <c r="C19" s="41" t="s">
        <v>26</v>
      </c>
      <c r="D19" s="45"/>
      <c r="E19" s="90"/>
    </row>
    <row r="20" spans="1:5" x14ac:dyDescent="0.3">
      <c r="A20" s="6" t="s">
        <v>43</v>
      </c>
      <c r="B20" s="7" t="s">
        <v>38</v>
      </c>
      <c r="C20" s="41" t="s">
        <v>26</v>
      </c>
      <c r="D20" s="25"/>
      <c r="E20" s="90"/>
    </row>
    <row r="21" spans="1:5" x14ac:dyDescent="0.3">
      <c r="A21" s="6" t="s">
        <v>44</v>
      </c>
      <c r="B21" s="7" t="s">
        <v>30</v>
      </c>
      <c r="C21" s="41" t="s">
        <v>26</v>
      </c>
      <c r="D21" s="25"/>
      <c r="E21" s="90"/>
    </row>
    <row r="22" spans="1:5" x14ac:dyDescent="0.3">
      <c r="A22" s="6" t="s">
        <v>45</v>
      </c>
      <c r="B22" s="7" t="s">
        <v>38</v>
      </c>
      <c r="C22" s="41" t="s">
        <v>26</v>
      </c>
      <c r="D22" s="25"/>
      <c r="E22" s="90"/>
    </row>
    <row r="23" spans="1:5" x14ac:dyDescent="0.3">
      <c r="A23" s="6" t="s">
        <v>46</v>
      </c>
      <c r="B23" s="7" t="s">
        <v>38</v>
      </c>
      <c r="C23" s="41" t="s">
        <v>26</v>
      </c>
      <c r="D23" s="25"/>
      <c r="E23" s="90"/>
    </row>
    <row r="24" spans="1:5" x14ac:dyDescent="0.3">
      <c r="A24" s="6" t="s">
        <v>47</v>
      </c>
      <c r="B24" s="7" t="s">
        <v>48</v>
      </c>
      <c r="C24" s="41">
        <v>45352</v>
      </c>
      <c r="D24" s="25"/>
      <c r="E24" s="90"/>
    </row>
    <row r="25" spans="1:5" x14ac:dyDescent="0.3">
      <c r="A25" s="6" t="s">
        <v>49</v>
      </c>
      <c r="B25" s="7" t="s">
        <v>38</v>
      </c>
      <c r="C25" s="41">
        <v>45944</v>
      </c>
      <c r="D25" s="25" t="s">
        <v>223</v>
      </c>
      <c r="E25" s="90"/>
    </row>
    <row r="26" spans="1:5" x14ac:dyDescent="0.3">
      <c r="A26" s="6" t="s">
        <v>50</v>
      </c>
      <c r="B26" s="7" t="s">
        <v>38</v>
      </c>
      <c r="C26" s="41">
        <v>45944</v>
      </c>
      <c r="D26" s="25"/>
      <c r="E26" s="90"/>
    </row>
    <row r="27" spans="1:5" x14ac:dyDescent="0.3">
      <c r="A27" s="110" t="s">
        <v>51</v>
      </c>
      <c r="B27" s="7" t="s">
        <v>30</v>
      </c>
      <c r="C27" s="41" t="s">
        <v>26</v>
      </c>
      <c r="D27" s="25"/>
      <c r="E27" s="90"/>
    </row>
    <row r="28" spans="1:5" x14ac:dyDescent="0.3">
      <c r="A28" s="110"/>
      <c r="B28" s="7" t="s">
        <v>38</v>
      </c>
      <c r="C28" s="41" t="s">
        <v>26</v>
      </c>
      <c r="D28" s="25"/>
      <c r="E28" s="90"/>
    </row>
    <row r="29" spans="1:5" x14ac:dyDescent="0.3">
      <c r="A29" s="6" t="s">
        <v>52</v>
      </c>
      <c r="B29" s="7"/>
      <c r="C29" s="41">
        <v>45811</v>
      </c>
      <c r="D29" s="45"/>
      <c r="E29" s="90"/>
    </row>
    <row r="30" spans="1:5" x14ac:dyDescent="0.3">
      <c r="A30" s="6" t="s">
        <v>53</v>
      </c>
      <c r="B30" s="7"/>
      <c r="C30" s="41">
        <v>45811</v>
      </c>
      <c r="D30" s="25"/>
      <c r="E30" s="90"/>
    </row>
    <row r="31" spans="1:5" x14ac:dyDescent="0.3">
      <c r="A31" s="6" t="s">
        <v>54</v>
      </c>
      <c r="B31" s="7" t="s">
        <v>55</v>
      </c>
      <c r="C31" s="41">
        <v>45698</v>
      </c>
      <c r="D31" s="25" t="s">
        <v>224</v>
      </c>
      <c r="E31" s="90"/>
    </row>
    <row r="32" spans="1:5" x14ac:dyDescent="0.3">
      <c r="A32" s="6" t="s">
        <v>56</v>
      </c>
      <c r="B32" s="7" t="s">
        <v>55</v>
      </c>
      <c r="C32" s="41">
        <v>45383</v>
      </c>
      <c r="D32" s="25" t="s">
        <v>225</v>
      </c>
      <c r="E32" s="90"/>
    </row>
    <row r="33" spans="1:5" x14ac:dyDescent="0.3">
      <c r="A33" s="6" t="s">
        <v>57</v>
      </c>
      <c r="B33" s="7" t="s">
        <v>55</v>
      </c>
      <c r="C33" s="41">
        <v>45536</v>
      </c>
      <c r="D33" s="25"/>
      <c r="E33" s="90"/>
    </row>
    <row r="34" spans="1:5" x14ac:dyDescent="0.3">
      <c r="A34" s="6" t="s">
        <v>58</v>
      </c>
      <c r="B34" s="7" t="s">
        <v>55</v>
      </c>
      <c r="C34" s="41" t="s">
        <v>26</v>
      </c>
      <c r="D34" s="25" t="s">
        <v>226</v>
      </c>
      <c r="E34" s="90"/>
    </row>
    <row r="35" spans="1:5" x14ac:dyDescent="0.3">
      <c r="A35" s="6" t="s">
        <v>59</v>
      </c>
      <c r="B35" s="7"/>
      <c r="C35" s="41">
        <v>0</v>
      </c>
      <c r="D35" s="25" t="s">
        <v>227</v>
      </c>
      <c r="E35" s="90"/>
    </row>
    <row r="36" spans="1:5" x14ac:dyDescent="0.3">
      <c r="A36" s="6" t="s">
        <v>60</v>
      </c>
      <c r="B36" s="7" t="s">
        <v>61</v>
      </c>
      <c r="C36" s="41">
        <v>0</v>
      </c>
      <c r="D36" s="25" t="s">
        <v>227</v>
      </c>
      <c r="E36" s="90"/>
    </row>
    <row r="37" spans="1:5" x14ac:dyDescent="0.3">
      <c r="A37" s="6" t="s">
        <v>62</v>
      </c>
      <c r="B37" s="7"/>
      <c r="C37" s="41">
        <v>44409</v>
      </c>
      <c r="D37" s="25" t="s">
        <v>95</v>
      </c>
      <c r="E37" s="90"/>
    </row>
    <row r="38" spans="1:5" x14ac:dyDescent="0.3">
      <c r="A38" s="6" t="s">
        <v>63</v>
      </c>
      <c r="B38" s="7"/>
      <c r="C38" s="41">
        <v>44409</v>
      </c>
      <c r="D38" s="25" t="s">
        <v>95</v>
      </c>
      <c r="E38" s="90"/>
    </row>
    <row r="39" spans="1:5" x14ac:dyDescent="0.3">
      <c r="A39" s="6" t="s">
        <v>64</v>
      </c>
      <c r="B39" s="7"/>
      <c r="C39" s="41">
        <v>44409</v>
      </c>
      <c r="D39" s="25" t="s">
        <v>95</v>
      </c>
      <c r="E39" s="90"/>
    </row>
    <row r="40" spans="1:5" x14ac:dyDescent="0.3">
      <c r="A40" s="6" t="s">
        <v>65</v>
      </c>
      <c r="B40" s="7"/>
      <c r="C40" s="41">
        <v>45812</v>
      </c>
      <c r="D40" s="25"/>
      <c r="E40" s="90"/>
    </row>
    <row r="41" spans="1:5" x14ac:dyDescent="0.3">
      <c r="A41" s="6" t="s">
        <v>66</v>
      </c>
      <c r="B41" s="7"/>
      <c r="C41" s="41" t="s">
        <v>26</v>
      </c>
      <c r="D41" s="25"/>
      <c r="E41" s="90"/>
    </row>
    <row r="42" spans="1:5" x14ac:dyDescent="0.3">
      <c r="A42" s="6" t="s">
        <v>67</v>
      </c>
      <c r="B42" s="7"/>
      <c r="C42" s="41">
        <v>45804</v>
      </c>
      <c r="D42" s="25"/>
      <c r="E42" s="90"/>
    </row>
    <row r="43" spans="1:5" x14ac:dyDescent="0.3">
      <c r="A43" s="6" t="s">
        <v>68</v>
      </c>
      <c r="B43" s="7" t="s">
        <v>69</v>
      </c>
      <c r="C43" s="41">
        <v>45474</v>
      </c>
      <c r="D43" s="25" t="s">
        <v>228</v>
      </c>
      <c r="E43" s="90"/>
    </row>
    <row r="44" spans="1:5" x14ac:dyDescent="0.3">
      <c r="A44" s="6" t="s">
        <v>70</v>
      </c>
      <c r="B44" s="7" t="s">
        <v>69</v>
      </c>
      <c r="C44" s="41">
        <v>45474</v>
      </c>
      <c r="D44" s="25" t="s">
        <v>229</v>
      </c>
      <c r="E44" s="90"/>
    </row>
    <row r="45" spans="1:5" x14ac:dyDescent="0.3">
      <c r="A45" s="6" t="s">
        <v>71</v>
      </c>
      <c r="B45" s="7" t="s">
        <v>72</v>
      </c>
      <c r="C45" s="41">
        <v>0</v>
      </c>
      <c r="D45" s="45" t="s">
        <v>98</v>
      </c>
      <c r="E45" s="90"/>
    </row>
    <row r="46" spans="1:5" ht="15" thickBot="1" x14ac:dyDescent="0.35">
      <c r="A46" s="3" t="s">
        <v>71</v>
      </c>
      <c r="B46" s="5" t="s">
        <v>73</v>
      </c>
      <c r="C46" s="43">
        <v>0</v>
      </c>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JjJiKmbYA33HDoyVgEotKRwQir7D9z8eYb4RvmNcDcQXoJWuadahwygMaofdNX8QzPeluWw1NjZG+uBfSIox6g==" saltValue="IVhD7Qdwe3hp6TgoTng/2g==" spinCount="100000" sheet="1" objects="1" scenarios="1" selectLockedCells="1"/>
  <mergeCells count="14">
    <mergeCell ref="E1:E2"/>
    <mergeCell ref="C51:D51"/>
    <mergeCell ref="C50:D50"/>
    <mergeCell ref="A10:A11"/>
    <mergeCell ref="C1:C2"/>
    <mergeCell ref="D1:D2"/>
    <mergeCell ref="C47:D47"/>
    <mergeCell ref="C48:D48"/>
    <mergeCell ref="C49:D49"/>
    <mergeCell ref="A8:A9"/>
    <mergeCell ref="A15:A16"/>
    <mergeCell ref="A18:A19"/>
    <mergeCell ref="A27:A28"/>
    <mergeCell ref="A1:B2"/>
  </mergeCells>
  <conditionalFormatting sqref="C3:C4 C34 C36">
    <cfRule type="expression" dxfId="101" priority="10">
      <formula>TODAY()-C3&gt;1095</formula>
    </cfRule>
    <cfRule type="expression" dxfId="100" priority="11">
      <formula>TODAY()-C3&lt;=1035</formula>
    </cfRule>
    <cfRule type="expression" dxfId="99" priority="12">
      <formula>AND(TODAY()-C3&gt;1035, TODAY()-C3&lt;=1095)</formula>
    </cfRule>
  </conditionalFormatting>
  <conditionalFormatting sqref="C5:C16 C18:C30 C32:C33 C37:C46">
    <cfRule type="expression" dxfId="98" priority="3">
      <formula>TODAY()-C5&gt;365</formula>
    </cfRule>
    <cfRule type="expression" dxfId="97" priority="13">
      <formula>AND(TODAY()-C5&gt;304, TODAY()-C5&lt;=365)</formula>
    </cfRule>
    <cfRule type="expression" dxfId="96" priority="14">
      <formula>TODAY()-C5&lt;=304</formula>
    </cfRule>
  </conditionalFormatting>
  <conditionalFormatting sqref="C17">
    <cfRule type="expression" dxfId="95" priority="7">
      <formula>TODAY()-C17&lt;=1765</formula>
    </cfRule>
    <cfRule type="expression" dxfId="94" priority="8">
      <formula>AND(TODAY()-C17&gt;1765, TODAY()-C17&lt;=1825)</formula>
    </cfRule>
    <cfRule type="expression" dxfId="93" priority="9">
      <formula>TODAY()-C17&gt;1825</formula>
    </cfRule>
  </conditionalFormatting>
  <conditionalFormatting sqref="C31">
    <cfRule type="expression" dxfId="92" priority="4">
      <formula>TODAY()-C31&lt;=669</formula>
    </cfRule>
    <cfRule type="expression" dxfId="91" priority="5">
      <formula>AND(TODAY()-C31&gt;669, TODAY()-C31&lt;=730)</formula>
    </cfRule>
    <cfRule type="expression" dxfId="90" priority="15">
      <formula>TODAY()-C31&gt;730</formula>
    </cfRule>
  </conditionalFormatting>
  <conditionalFormatting sqref="C35">
    <cfRule type="notContainsBlanks" dxfId="89" priority="1">
      <formula>LEN(TRIM(C35))&gt;0</formula>
    </cfRule>
    <cfRule type="containsBlanks" dxfId="88" priority="2">
      <formula>LEN(TRIM(C35))=0</formula>
    </cfRule>
  </conditionalFormatting>
  <pageMargins left="0.7" right="0.7" top="0.75" bottom="0.75" header="0.3" footer="0.3"/>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4A791-5AE0-47AA-AC9E-ED747CCE689D}">
  <sheetPr>
    <pageSetUpPr fitToPage="1"/>
  </sheetPr>
  <dimension ref="A1:E51"/>
  <sheetViews>
    <sheetView workbookViewId="0"/>
  </sheetViews>
  <sheetFormatPr baseColWidth="10" defaultColWidth="11.44140625" defaultRowHeight="14.4" x14ac:dyDescent="0.3"/>
  <cols>
    <col min="1" max="1" width="59.109375" bestFit="1" customWidth="1"/>
    <col min="2" max="2" width="23.33203125" bestFit="1" customWidth="1"/>
    <col min="3" max="3" width="21" customWidth="1"/>
    <col min="4" max="4" width="175.6640625" bestFit="1" customWidth="1"/>
    <col min="5" max="5" width="31.5546875" bestFit="1" customWidth="1"/>
  </cols>
  <sheetData>
    <row r="1" spans="1:5" ht="14.4" customHeight="1" x14ac:dyDescent="0.3">
      <c r="A1" s="102" t="s">
        <v>0</v>
      </c>
      <c r="B1" s="103"/>
      <c r="C1" s="106" t="s">
        <v>79</v>
      </c>
      <c r="D1" s="108" t="s">
        <v>230</v>
      </c>
      <c r="E1" s="96" t="s">
        <v>81</v>
      </c>
    </row>
    <row r="2" spans="1:5" ht="15" thickBot="1" x14ac:dyDescent="0.35">
      <c r="A2" s="104"/>
      <c r="B2" s="105"/>
      <c r="C2" s="107"/>
      <c r="D2" s="109"/>
      <c r="E2" s="97"/>
    </row>
    <row r="3" spans="1:5" x14ac:dyDescent="0.3">
      <c r="A3" s="2" t="s">
        <v>24</v>
      </c>
      <c r="B3" s="20" t="s">
        <v>25</v>
      </c>
      <c r="C3" s="42" t="s">
        <v>231</v>
      </c>
      <c r="D3" s="58" t="s">
        <v>232</v>
      </c>
      <c r="E3" s="89"/>
    </row>
    <row r="4" spans="1:5" x14ac:dyDescent="0.3">
      <c r="A4" s="6" t="s">
        <v>27</v>
      </c>
      <c r="B4" s="7" t="s">
        <v>28</v>
      </c>
      <c r="C4" s="41" t="s">
        <v>26</v>
      </c>
      <c r="D4" s="25"/>
      <c r="E4" s="90"/>
    </row>
    <row r="5" spans="1:5" x14ac:dyDescent="0.3">
      <c r="A5" s="6" t="s">
        <v>29</v>
      </c>
      <c r="B5" s="7" t="s">
        <v>38</v>
      </c>
      <c r="C5" s="41">
        <v>46037</v>
      </c>
      <c r="D5" s="45"/>
      <c r="E5" s="90"/>
    </row>
    <row r="6" spans="1:5" ht="28.8" x14ac:dyDescent="0.3">
      <c r="A6" s="6" t="s">
        <v>31</v>
      </c>
      <c r="B6" s="7" t="s">
        <v>30</v>
      </c>
      <c r="C6" s="41">
        <v>45686</v>
      </c>
      <c r="D6" s="92" t="s">
        <v>233</v>
      </c>
      <c r="E6" s="90"/>
    </row>
    <row r="7" spans="1:5" x14ac:dyDescent="0.3">
      <c r="A7" s="6" t="s">
        <v>32</v>
      </c>
      <c r="B7" s="7" t="s">
        <v>30</v>
      </c>
      <c r="C7" s="41" t="s">
        <v>26</v>
      </c>
      <c r="D7" s="45"/>
      <c r="E7" s="90"/>
    </row>
    <row r="8" spans="1:5" ht="15" customHeight="1" x14ac:dyDescent="0.3">
      <c r="A8" s="110" t="s">
        <v>33</v>
      </c>
      <c r="B8" s="7">
        <v>1</v>
      </c>
      <c r="C8" s="41">
        <v>45540</v>
      </c>
      <c r="D8" s="46" t="s">
        <v>234</v>
      </c>
      <c r="E8" s="90"/>
    </row>
    <row r="9" spans="1:5" ht="15" customHeight="1" x14ac:dyDescent="0.3">
      <c r="A9" s="110"/>
      <c r="B9" s="7">
        <v>2</v>
      </c>
      <c r="C9" s="41">
        <v>46114</v>
      </c>
      <c r="D9" s="45" t="s">
        <v>235</v>
      </c>
      <c r="E9" s="90"/>
    </row>
    <row r="10" spans="1:5" ht="15" customHeight="1" x14ac:dyDescent="0.3">
      <c r="A10" s="111" t="s">
        <v>34</v>
      </c>
      <c r="B10" s="7">
        <v>1</v>
      </c>
      <c r="C10" s="41">
        <v>45924</v>
      </c>
      <c r="D10" s="46"/>
      <c r="E10" s="90"/>
    </row>
    <row r="11" spans="1:5" ht="15" customHeight="1" x14ac:dyDescent="0.3">
      <c r="A11" s="112"/>
      <c r="B11" s="7">
        <v>2</v>
      </c>
      <c r="C11" s="41">
        <v>46128</v>
      </c>
      <c r="D11" s="45"/>
      <c r="E11" s="90"/>
    </row>
    <row r="12" spans="1:5" x14ac:dyDescent="0.3">
      <c r="A12" s="15" t="s">
        <v>35</v>
      </c>
      <c r="B12" s="7" t="s">
        <v>36</v>
      </c>
      <c r="C12" s="41">
        <v>45809</v>
      </c>
      <c r="D12" s="45" t="s">
        <v>236</v>
      </c>
      <c r="E12" s="90"/>
    </row>
    <row r="13" spans="1:5" x14ac:dyDescent="0.3">
      <c r="A13" s="6" t="s">
        <v>37</v>
      </c>
      <c r="B13" s="7" t="s">
        <v>38</v>
      </c>
      <c r="C13" s="41">
        <v>46037</v>
      </c>
      <c r="D13" s="45" t="s">
        <v>237</v>
      </c>
      <c r="E13" s="90"/>
    </row>
    <row r="14" spans="1:5" x14ac:dyDescent="0.3">
      <c r="A14" s="6" t="s">
        <v>39</v>
      </c>
      <c r="B14" s="7" t="s">
        <v>38</v>
      </c>
      <c r="C14" s="41" t="s">
        <v>26</v>
      </c>
      <c r="D14" s="45"/>
      <c r="E14" s="90"/>
    </row>
    <row r="15" spans="1:5" ht="15" customHeight="1" x14ac:dyDescent="0.3">
      <c r="A15" s="110" t="s">
        <v>40</v>
      </c>
      <c r="B15" s="7" t="s">
        <v>30</v>
      </c>
      <c r="C15" s="41" t="s">
        <v>26</v>
      </c>
      <c r="D15" s="45"/>
      <c r="E15" s="90"/>
    </row>
    <row r="16" spans="1:5" ht="15" customHeight="1" x14ac:dyDescent="0.3">
      <c r="A16" s="110"/>
      <c r="B16" s="7" t="s">
        <v>38</v>
      </c>
      <c r="C16" s="41" t="s">
        <v>26</v>
      </c>
      <c r="D16" s="45"/>
      <c r="E16" s="90"/>
    </row>
    <row r="17" spans="1:5" x14ac:dyDescent="0.3">
      <c r="A17" s="6" t="s">
        <v>41</v>
      </c>
      <c r="B17" s="7" t="s">
        <v>28</v>
      </c>
      <c r="C17" s="41" t="s">
        <v>26</v>
      </c>
      <c r="D17" s="25"/>
      <c r="E17" s="90"/>
    </row>
    <row r="18" spans="1:5" ht="15" customHeight="1" x14ac:dyDescent="0.3">
      <c r="A18" s="110" t="s">
        <v>42</v>
      </c>
      <c r="B18" s="7" t="s">
        <v>30</v>
      </c>
      <c r="C18" s="41" t="s">
        <v>26</v>
      </c>
      <c r="D18" s="45"/>
      <c r="E18" s="90"/>
    </row>
    <row r="19" spans="1:5" ht="15" customHeight="1" x14ac:dyDescent="0.3">
      <c r="A19" s="110"/>
      <c r="B19" s="7" t="s">
        <v>38</v>
      </c>
      <c r="C19" s="41" t="s">
        <v>26</v>
      </c>
      <c r="D19" s="45"/>
      <c r="E19" s="90"/>
    </row>
    <row r="20" spans="1:5" x14ac:dyDescent="0.3">
      <c r="A20" s="6" t="s">
        <v>43</v>
      </c>
      <c r="B20" s="7" t="s">
        <v>38</v>
      </c>
      <c r="C20" s="41" t="s">
        <v>26</v>
      </c>
      <c r="D20" s="25"/>
      <c r="E20" s="90"/>
    </row>
    <row r="21" spans="1:5" x14ac:dyDescent="0.3">
      <c r="A21" s="6" t="s">
        <v>44</v>
      </c>
      <c r="B21" s="7" t="s">
        <v>30</v>
      </c>
      <c r="C21" s="41" t="s">
        <v>26</v>
      </c>
      <c r="D21" s="25"/>
      <c r="E21" s="90"/>
    </row>
    <row r="22" spans="1:5" x14ac:dyDescent="0.3">
      <c r="A22" s="6" t="s">
        <v>45</v>
      </c>
      <c r="B22" s="7" t="s">
        <v>38</v>
      </c>
      <c r="C22" s="41" t="s">
        <v>26</v>
      </c>
      <c r="D22" s="25"/>
      <c r="E22" s="90"/>
    </row>
    <row r="23" spans="1:5" x14ac:dyDescent="0.3">
      <c r="A23" s="6" t="s">
        <v>46</v>
      </c>
      <c r="B23" s="7" t="s">
        <v>38</v>
      </c>
      <c r="C23" s="41" t="s">
        <v>26</v>
      </c>
      <c r="D23" s="25"/>
      <c r="E23" s="90"/>
    </row>
    <row r="24" spans="1:5" x14ac:dyDescent="0.3">
      <c r="A24" s="6" t="s">
        <v>47</v>
      </c>
      <c r="B24" s="7" t="s">
        <v>48</v>
      </c>
      <c r="C24" s="41" t="s">
        <v>26</v>
      </c>
      <c r="D24" s="25"/>
      <c r="E24" s="90"/>
    </row>
    <row r="25" spans="1:5" x14ac:dyDescent="0.3">
      <c r="A25" s="6" t="s">
        <v>49</v>
      </c>
      <c r="B25" s="7" t="s">
        <v>38</v>
      </c>
      <c r="C25" s="41" t="s">
        <v>26</v>
      </c>
      <c r="D25" s="25"/>
      <c r="E25" s="90"/>
    </row>
    <row r="26" spans="1:5" x14ac:dyDescent="0.3">
      <c r="A26" s="6" t="s">
        <v>50</v>
      </c>
      <c r="B26" s="7" t="s">
        <v>38</v>
      </c>
      <c r="C26" s="41" t="s">
        <v>26</v>
      </c>
      <c r="D26" s="25"/>
      <c r="E26" s="90"/>
    </row>
    <row r="27" spans="1:5" x14ac:dyDescent="0.3">
      <c r="A27" s="110" t="s">
        <v>51</v>
      </c>
      <c r="B27" s="7" t="s">
        <v>30</v>
      </c>
      <c r="C27" s="41">
        <v>45831</v>
      </c>
      <c r="D27" s="25"/>
      <c r="E27" s="90"/>
    </row>
    <row r="28" spans="1:5" x14ac:dyDescent="0.3">
      <c r="A28" s="110"/>
      <c r="B28" s="7" t="s">
        <v>38</v>
      </c>
      <c r="C28" s="41">
        <v>0</v>
      </c>
      <c r="D28" s="25" t="s">
        <v>238</v>
      </c>
      <c r="E28" s="90"/>
    </row>
    <row r="29" spans="1:5" x14ac:dyDescent="0.3">
      <c r="A29" s="6" t="s">
        <v>52</v>
      </c>
      <c r="B29" s="7"/>
      <c r="C29" s="41">
        <v>0</v>
      </c>
      <c r="D29" s="45" t="s">
        <v>239</v>
      </c>
      <c r="E29" s="90"/>
    </row>
    <row r="30" spans="1:5" x14ac:dyDescent="0.3">
      <c r="A30" s="6" t="s">
        <v>53</v>
      </c>
      <c r="B30" s="7"/>
      <c r="C30" s="41">
        <v>0</v>
      </c>
      <c r="D30" s="45" t="s">
        <v>239</v>
      </c>
      <c r="E30" s="90"/>
    </row>
    <row r="31" spans="1:5" x14ac:dyDescent="0.3">
      <c r="A31" s="6" t="s">
        <v>54</v>
      </c>
      <c r="B31" s="7" t="s">
        <v>55</v>
      </c>
      <c r="C31" s="41">
        <v>45964</v>
      </c>
      <c r="D31" s="25"/>
      <c r="E31" s="90"/>
    </row>
    <row r="32" spans="1:5" x14ac:dyDescent="0.3">
      <c r="A32" s="6" t="s">
        <v>56</v>
      </c>
      <c r="B32" s="7" t="s">
        <v>55</v>
      </c>
      <c r="C32" s="41">
        <v>45757</v>
      </c>
      <c r="D32" s="25"/>
      <c r="E32" s="90"/>
    </row>
    <row r="33" spans="1:5" x14ac:dyDescent="0.3">
      <c r="A33" s="6" t="s">
        <v>57</v>
      </c>
      <c r="B33" s="7" t="s">
        <v>55</v>
      </c>
      <c r="C33" s="41">
        <v>45757</v>
      </c>
      <c r="D33" s="25" t="s">
        <v>240</v>
      </c>
      <c r="E33" s="90"/>
    </row>
    <row r="34" spans="1:5" x14ac:dyDescent="0.3">
      <c r="A34" s="6" t="s">
        <v>58</v>
      </c>
      <c r="B34" s="7" t="s">
        <v>55</v>
      </c>
      <c r="C34" s="41">
        <v>45770</v>
      </c>
      <c r="D34" s="25"/>
      <c r="E34" s="90"/>
    </row>
    <row r="35" spans="1:5" x14ac:dyDescent="0.3">
      <c r="A35" s="6" t="s">
        <v>59</v>
      </c>
      <c r="B35" s="7"/>
      <c r="C35" s="41">
        <v>42675</v>
      </c>
      <c r="D35" s="25"/>
      <c r="E35" s="90"/>
    </row>
    <row r="36" spans="1:5" x14ac:dyDescent="0.3">
      <c r="A36" s="6" t="s">
        <v>60</v>
      </c>
      <c r="B36" s="7" t="s">
        <v>61</v>
      </c>
      <c r="C36" s="41" t="s">
        <v>26</v>
      </c>
      <c r="D36" s="25" t="s">
        <v>171</v>
      </c>
      <c r="E36" s="90"/>
    </row>
    <row r="37" spans="1:5" x14ac:dyDescent="0.3">
      <c r="A37" s="6" t="s">
        <v>62</v>
      </c>
      <c r="B37" s="7"/>
      <c r="C37" s="41" t="s">
        <v>26</v>
      </c>
      <c r="D37" s="25"/>
      <c r="E37" s="90"/>
    </row>
    <row r="38" spans="1:5" x14ac:dyDescent="0.3">
      <c r="A38" s="6" t="s">
        <v>63</v>
      </c>
      <c r="B38" s="7"/>
      <c r="C38" s="41">
        <v>0</v>
      </c>
      <c r="D38" s="25" t="s">
        <v>241</v>
      </c>
      <c r="E38" s="90"/>
    </row>
    <row r="39" spans="1:5" x14ac:dyDescent="0.3">
      <c r="A39" s="6" t="s">
        <v>64</v>
      </c>
      <c r="B39" s="7"/>
      <c r="C39" s="41">
        <v>0</v>
      </c>
      <c r="D39" s="25" t="s">
        <v>241</v>
      </c>
      <c r="E39" s="90"/>
    </row>
    <row r="40" spans="1:5" x14ac:dyDescent="0.3">
      <c r="A40" s="6" t="s">
        <v>65</v>
      </c>
      <c r="B40" s="7"/>
      <c r="C40" s="41">
        <v>45901</v>
      </c>
      <c r="D40" s="59"/>
      <c r="E40" s="90"/>
    </row>
    <row r="41" spans="1:5" x14ac:dyDescent="0.3">
      <c r="A41" s="6" t="s">
        <v>66</v>
      </c>
      <c r="B41" s="7"/>
      <c r="C41" s="41" t="s">
        <v>26</v>
      </c>
      <c r="D41" s="25"/>
      <c r="E41" s="90"/>
    </row>
    <row r="42" spans="1:5" x14ac:dyDescent="0.3">
      <c r="A42" s="6" t="s">
        <v>67</v>
      </c>
      <c r="B42" s="7"/>
      <c r="C42" s="41">
        <v>45790</v>
      </c>
      <c r="D42" s="25"/>
      <c r="E42" s="90"/>
    </row>
    <row r="43" spans="1:5" x14ac:dyDescent="0.3">
      <c r="A43" s="6" t="s">
        <v>68</v>
      </c>
      <c r="B43" s="7" t="s">
        <v>69</v>
      </c>
      <c r="C43" s="41">
        <v>45982</v>
      </c>
      <c r="D43" s="25"/>
      <c r="E43" s="90"/>
    </row>
    <row r="44" spans="1:5" x14ac:dyDescent="0.3">
      <c r="A44" s="6" t="s">
        <v>70</v>
      </c>
      <c r="B44" s="7" t="s">
        <v>69</v>
      </c>
      <c r="C44" s="41">
        <v>45828</v>
      </c>
      <c r="D44" s="25" t="s">
        <v>242</v>
      </c>
      <c r="E44" s="90"/>
    </row>
    <row r="45" spans="1:5" x14ac:dyDescent="0.3">
      <c r="A45" s="6" t="s">
        <v>71</v>
      </c>
      <c r="B45" s="7" t="s">
        <v>72</v>
      </c>
      <c r="C45" s="41">
        <v>0</v>
      </c>
      <c r="D45" s="45" t="s">
        <v>98</v>
      </c>
      <c r="E45" s="90"/>
    </row>
    <row r="46" spans="1:5" ht="15" thickBot="1" x14ac:dyDescent="0.35">
      <c r="A46" s="3" t="s">
        <v>71</v>
      </c>
      <c r="B46" s="5" t="s">
        <v>73</v>
      </c>
      <c r="C46" s="43">
        <v>0</v>
      </c>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sheet="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87" priority="10">
      <formula>TODAY()-C3&gt;1095</formula>
    </cfRule>
    <cfRule type="expression" dxfId="86" priority="11">
      <formula>TODAY()-C3&lt;=1035</formula>
    </cfRule>
    <cfRule type="expression" dxfId="85" priority="12">
      <formula>AND(TODAY()-C3&gt;1035, TODAY()-C3&lt;=1095)</formula>
    </cfRule>
  </conditionalFormatting>
  <conditionalFormatting sqref="C5:C16 C18:C30 C32:C33 C37:C46">
    <cfRule type="expression" dxfId="84" priority="3">
      <formula>TODAY()-C5&gt;365</formula>
    </cfRule>
    <cfRule type="expression" dxfId="83" priority="13">
      <formula>AND(TODAY()-C5&gt;304, TODAY()-C5&lt;=365)</formula>
    </cfRule>
    <cfRule type="expression" dxfId="82" priority="14">
      <formula>TODAY()-C5&lt;=304</formula>
    </cfRule>
  </conditionalFormatting>
  <conditionalFormatting sqref="C17">
    <cfRule type="expression" dxfId="81" priority="7">
      <formula>TODAY()-C17&lt;=1765</formula>
    </cfRule>
    <cfRule type="expression" dxfId="80" priority="8">
      <formula>AND(TODAY()-C17&gt;1765, TODAY()-C17&lt;=1825)</formula>
    </cfRule>
    <cfRule type="expression" dxfId="79" priority="9">
      <formula>TODAY()-C17&gt;1825</formula>
    </cfRule>
  </conditionalFormatting>
  <conditionalFormatting sqref="C31">
    <cfRule type="expression" dxfId="78" priority="4">
      <formula>TODAY()-C31&lt;=669</formula>
    </cfRule>
    <cfRule type="expression" dxfId="77" priority="5">
      <formula>AND(TODAY()-C31&gt;669, TODAY()-C31&lt;=730)</formula>
    </cfRule>
    <cfRule type="expression" dxfId="76" priority="15">
      <formula>TODAY()-C31&gt;730</formula>
    </cfRule>
  </conditionalFormatting>
  <conditionalFormatting sqref="C35">
    <cfRule type="notContainsBlanks" dxfId="75" priority="1">
      <formula>LEN(TRIM(C35))&gt;0</formula>
    </cfRule>
    <cfRule type="containsBlanks" dxfId="74" priority="2">
      <formula>LEN(TRIM(C35))=0</formula>
    </cfRule>
  </conditionalFormatting>
  <pageMargins left="0.7" right="0.7" top="0.75" bottom="0.75" header="0.3" footer="0.3"/>
  <pageSetup paperSize="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7B42-FD05-45A9-B261-484AF12651EA}">
  <sheetPr>
    <pageSetUpPr fitToPage="1"/>
  </sheetPr>
  <dimension ref="A1:E51"/>
  <sheetViews>
    <sheetView workbookViewId="0">
      <selection activeCell="D13" sqref="D13"/>
    </sheetView>
  </sheetViews>
  <sheetFormatPr baseColWidth="10" defaultColWidth="11.44140625" defaultRowHeight="14.4" x14ac:dyDescent="0.3"/>
  <cols>
    <col min="1" max="1" width="59.109375" bestFit="1" customWidth="1"/>
    <col min="2" max="2" width="23.33203125" bestFit="1" customWidth="1"/>
    <col min="3" max="3" width="21" customWidth="1"/>
    <col min="4" max="4" width="92.5546875" bestFit="1" customWidth="1"/>
    <col min="5" max="5" width="31.5546875" bestFit="1" customWidth="1"/>
  </cols>
  <sheetData>
    <row r="1" spans="1:5" ht="14.4" customHeight="1" x14ac:dyDescent="0.3">
      <c r="A1" s="102" t="s">
        <v>0</v>
      </c>
      <c r="B1" s="103"/>
      <c r="C1" s="106" t="s">
        <v>79</v>
      </c>
      <c r="D1" s="108" t="s">
        <v>243</v>
      </c>
      <c r="E1" s="96" t="s">
        <v>81</v>
      </c>
    </row>
    <row r="2" spans="1:5" ht="15" thickBot="1" x14ac:dyDescent="0.35">
      <c r="A2" s="104"/>
      <c r="B2" s="105"/>
      <c r="C2" s="107"/>
      <c r="D2" s="109"/>
      <c r="E2" s="97"/>
    </row>
    <row r="3" spans="1:5" x14ac:dyDescent="0.3">
      <c r="A3" s="2" t="s">
        <v>24</v>
      </c>
      <c r="B3" s="20" t="s">
        <v>25</v>
      </c>
      <c r="C3" s="42" t="s">
        <v>189</v>
      </c>
      <c r="D3" s="23"/>
      <c r="E3" s="89"/>
    </row>
    <row r="4" spans="1:5" x14ac:dyDescent="0.3">
      <c r="A4" s="6" t="s">
        <v>27</v>
      </c>
      <c r="B4" s="7" t="s">
        <v>28</v>
      </c>
      <c r="C4" s="41" t="s">
        <v>26</v>
      </c>
      <c r="D4" s="13"/>
      <c r="E4" s="90"/>
    </row>
    <row r="5" spans="1:5" x14ac:dyDescent="0.3">
      <c r="A5" s="6" t="s">
        <v>29</v>
      </c>
      <c r="B5" s="7" t="s">
        <v>38</v>
      </c>
      <c r="C5" s="41">
        <v>46043</v>
      </c>
      <c r="D5" s="26" t="s">
        <v>244</v>
      </c>
      <c r="E5" s="90"/>
    </row>
    <row r="6" spans="1:5" x14ac:dyDescent="0.3">
      <c r="A6" s="6" t="s">
        <v>31</v>
      </c>
      <c r="B6" s="7" t="s">
        <v>30</v>
      </c>
      <c r="C6" s="41">
        <v>44682</v>
      </c>
      <c r="D6" s="26" t="s">
        <v>245</v>
      </c>
      <c r="E6" s="90"/>
    </row>
    <row r="7" spans="1:5" x14ac:dyDescent="0.3">
      <c r="A7" s="6" t="s">
        <v>32</v>
      </c>
      <c r="B7" s="7" t="s">
        <v>30</v>
      </c>
      <c r="C7" s="41" t="s">
        <v>26</v>
      </c>
      <c r="D7" s="24"/>
      <c r="E7" s="90"/>
    </row>
    <row r="8" spans="1:5" ht="15" customHeight="1" x14ac:dyDescent="0.3">
      <c r="A8" s="110" t="s">
        <v>33</v>
      </c>
      <c r="B8" s="7">
        <v>1</v>
      </c>
      <c r="C8" s="41">
        <v>43344</v>
      </c>
      <c r="D8" s="22" t="s">
        <v>246</v>
      </c>
      <c r="E8" s="90"/>
    </row>
    <row r="9" spans="1:5" ht="15" customHeight="1" x14ac:dyDescent="0.3">
      <c r="A9" s="110"/>
      <c r="B9" s="7">
        <v>2</v>
      </c>
      <c r="C9" s="41">
        <v>0</v>
      </c>
      <c r="D9" s="22" t="s">
        <v>246</v>
      </c>
      <c r="E9" s="90"/>
    </row>
    <row r="10" spans="1:5" ht="15" customHeight="1" x14ac:dyDescent="0.3">
      <c r="A10" s="111" t="s">
        <v>34</v>
      </c>
      <c r="B10" s="7">
        <v>1</v>
      </c>
      <c r="C10" s="41">
        <v>0</v>
      </c>
      <c r="D10" s="22" t="s">
        <v>246</v>
      </c>
      <c r="E10" s="90"/>
    </row>
    <row r="11" spans="1:5" ht="15" customHeight="1" x14ac:dyDescent="0.3">
      <c r="A11" s="112"/>
      <c r="B11" s="7">
        <v>2</v>
      </c>
      <c r="C11" s="41">
        <v>0</v>
      </c>
      <c r="D11" s="22" t="s">
        <v>246</v>
      </c>
      <c r="E11" s="90"/>
    </row>
    <row r="12" spans="1:5" x14ac:dyDescent="0.3">
      <c r="A12" s="15" t="s">
        <v>35</v>
      </c>
      <c r="B12" s="7" t="s">
        <v>36</v>
      </c>
      <c r="C12" s="41">
        <v>45444</v>
      </c>
      <c r="D12" s="22" t="s">
        <v>246</v>
      </c>
      <c r="E12" s="90"/>
    </row>
    <row r="13" spans="1:5" x14ac:dyDescent="0.3">
      <c r="A13" s="6" t="s">
        <v>37</v>
      </c>
      <c r="B13" s="7" t="s">
        <v>38</v>
      </c>
      <c r="C13" s="41">
        <v>46043</v>
      </c>
      <c r="D13" s="26" t="s">
        <v>247</v>
      </c>
      <c r="E13" s="90"/>
    </row>
    <row r="14" spans="1:5" x14ac:dyDescent="0.3">
      <c r="A14" s="6" t="s">
        <v>39</v>
      </c>
      <c r="B14" s="7" t="s">
        <v>38</v>
      </c>
      <c r="C14" s="41" t="s">
        <v>26</v>
      </c>
      <c r="D14" s="24"/>
      <c r="E14" s="90"/>
    </row>
    <row r="15" spans="1:5" ht="15" customHeight="1" x14ac:dyDescent="0.3">
      <c r="A15" s="110" t="s">
        <v>40</v>
      </c>
      <c r="B15" s="7" t="s">
        <v>30</v>
      </c>
      <c r="C15" s="41" t="s">
        <v>26</v>
      </c>
      <c r="D15" s="24"/>
      <c r="E15" s="90"/>
    </row>
    <row r="16" spans="1:5" ht="15" customHeight="1" x14ac:dyDescent="0.3">
      <c r="A16" s="110"/>
      <c r="B16" s="7" t="s">
        <v>38</v>
      </c>
      <c r="C16" s="41" t="s">
        <v>26</v>
      </c>
      <c r="D16" s="24"/>
      <c r="E16" s="90"/>
    </row>
    <row r="17" spans="1:5" x14ac:dyDescent="0.3">
      <c r="A17" s="6" t="s">
        <v>41</v>
      </c>
      <c r="B17" s="7" t="s">
        <v>28</v>
      </c>
      <c r="C17" s="41" t="s">
        <v>26</v>
      </c>
      <c r="D17" s="13"/>
      <c r="E17" s="90"/>
    </row>
    <row r="18" spans="1:5" ht="15" customHeight="1" x14ac:dyDescent="0.3">
      <c r="A18" s="110" t="s">
        <v>42</v>
      </c>
      <c r="B18" s="7" t="s">
        <v>30</v>
      </c>
      <c r="C18" s="41" t="s">
        <v>26</v>
      </c>
      <c r="D18" s="24"/>
      <c r="E18" s="90"/>
    </row>
    <row r="19" spans="1:5" ht="15" customHeight="1" x14ac:dyDescent="0.3">
      <c r="A19" s="110"/>
      <c r="B19" s="7" t="s">
        <v>38</v>
      </c>
      <c r="C19" s="41" t="s">
        <v>26</v>
      </c>
      <c r="D19" s="24"/>
      <c r="E19" s="90"/>
    </row>
    <row r="20" spans="1:5" x14ac:dyDescent="0.3">
      <c r="A20" s="6" t="s">
        <v>43</v>
      </c>
      <c r="B20" s="7" t="s">
        <v>38</v>
      </c>
      <c r="C20" s="41" t="s">
        <v>26</v>
      </c>
      <c r="D20" s="13"/>
      <c r="E20" s="90"/>
    </row>
    <row r="21" spans="1:5" x14ac:dyDescent="0.3">
      <c r="A21" s="6" t="s">
        <v>44</v>
      </c>
      <c r="B21" s="7" t="s">
        <v>30</v>
      </c>
      <c r="C21" s="41" t="s">
        <v>26</v>
      </c>
      <c r="D21" s="13"/>
      <c r="E21" s="90"/>
    </row>
    <row r="22" spans="1:5" x14ac:dyDescent="0.3">
      <c r="A22" s="6" t="s">
        <v>45</v>
      </c>
      <c r="B22" s="7" t="s">
        <v>38</v>
      </c>
      <c r="C22" s="41" t="s">
        <v>26</v>
      </c>
      <c r="D22" s="13"/>
      <c r="E22" s="90"/>
    </row>
    <row r="23" spans="1:5" x14ac:dyDescent="0.3">
      <c r="A23" s="6" t="s">
        <v>46</v>
      </c>
      <c r="B23" s="7" t="s">
        <v>38</v>
      </c>
      <c r="C23" s="41" t="s">
        <v>26</v>
      </c>
      <c r="D23" s="13"/>
      <c r="E23" s="90"/>
    </row>
    <row r="24" spans="1:5" x14ac:dyDescent="0.3">
      <c r="A24" s="6" t="s">
        <v>47</v>
      </c>
      <c r="B24" s="7" t="s">
        <v>48</v>
      </c>
      <c r="C24" s="41" t="s">
        <v>26</v>
      </c>
      <c r="D24" s="13"/>
      <c r="E24" s="90"/>
    </row>
    <row r="25" spans="1:5" x14ac:dyDescent="0.3">
      <c r="A25" s="6" t="s">
        <v>49</v>
      </c>
      <c r="B25" s="7" t="s">
        <v>38</v>
      </c>
      <c r="C25" s="41" t="s">
        <v>26</v>
      </c>
      <c r="D25" s="13"/>
      <c r="E25" s="90"/>
    </row>
    <row r="26" spans="1:5" x14ac:dyDescent="0.3">
      <c r="A26" s="6" t="s">
        <v>50</v>
      </c>
      <c r="B26" s="7" t="s">
        <v>38</v>
      </c>
      <c r="C26" s="41" t="s">
        <v>26</v>
      </c>
      <c r="D26" s="13"/>
      <c r="E26" s="90"/>
    </row>
    <row r="27" spans="1:5" x14ac:dyDescent="0.3">
      <c r="A27" s="110" t="s">
        <v>51</v>
      </c>
      <c r="B27" s="7" t="s">
        <v>30</v>
      </c>
      <c r="C27" s="41" t="s">
        <v>26</v>
      </c>
      <c r="D27" s="13"/>
      <c r="E27" s="90"/>
    </row>
    <row r="28" spans="1:5" x14ac:dyDescent="0.3">
      <c r="A28" s="110"/>
      <c r="B28" s="7" t="s">
        <v>38</v>
      </c>
      <c r="C28" s="41" t="s">
        <v>26</v>
      </c>
      <c r="D28" s="13"/>
      <c r="E28" s="90"/>
    </row>
    <row r="29" spans="1:5" x14ac:dyDescent="0.3">
      <c r="A29" s="6" t="s">
        <v>52</v>
      </c>
      <c r="B29" s="7"/>
      <c r="C29" s="41">
        <v>0</v>
      </c>
      <c r="D29" s="26" t="s">
        <v>248</v>
      </c>
      <c r="E29" s="90"/>
    </row>
    <row r="30" spans="1:5" x14ac:dyDescent="0.3">
      <c r="A30" s="6" t="s">
        <v>53</v>
      </c>
      <c r="B30" s="7"/>
      <c r="C30" s="41" t="s">
        <v>26</v>
      </c>
      <c r="D30" s="25"/>
      <c r="E30" s="90"/>
    </row>
    <row r="31" spans="1:5" x14ac:dyDescent="0.3">
      <c r="A31" s="6" t="s">
        <v>54</v>
      </c>
      <c r="B31" s="7" t="s">
        <v>55</v>
      </c>
      <c r="C31" s="41">
        <v>45200</v>
      </c>
      <c r="D31" s="25" t="s">
        <v>249</v>
      </c>
      <c r="E31" s="90"/>
    </row>
    <row r="32" spans="1:5" x14ac:dyDescent="0.3">
      <c r="A32" s="6" t="s">
        <v>56</v>
      </c>
      <c r="B32" s="7" t="s">
        <v>55</v>
      </c>
      <c r="C32" s="41">
        <v>45757</v>
      </c>
      <c r="D32" s="25"/>
      <c r="E32" s="90"/>
    </row>
    <row r="33" spans="1:5" x14ac:dyDescent="0.3">
      <c r="A33" s="6" t="s">
        <v>57</v>
      </c>
      <c r="B33" s="7" t="s">
        <v>55</v>
      </c>
      <c r="C33" s="41">
        <v>45757</v>
      </c>
      <c r="D33" s="25" t="s">
        <v>250</v>
      </c>
      <c r="E33" s="90"/>
    </row>
    <row r="34" spans="1:5" x14ac:dyDescent="0.3">
      <c r="A34" s="6" t="s">
        <v>58</v>
      </c>
      <c r="B34" s="7" t="s">
        <v>55</v>
      </c>
      <c r="C34" s="41">
        <v>45770</v>
      </c>
      <c r="D34" s="25"/>
      <c r="E34" s="90"/>
    </row>
    <row r="35" spans="1:5" x14ac:dyDescent="0.3">
      <c r="A35" s="6" t="s">
        <v>59</v>
      </c>
      <c r="B35" s="7"/>
      <c r="C35" s="41"/>
      <c r="D35" s="25"/>
      <c r="E35" s="90"/>
    </row>
    <row r="36" spans="1:5" x14ac:dyDescent="0.3">
      <c r="A36" s="6" t="s">
        <v>60</v>
      </c>
      <c r="B36" s="7" t="s">
        <v>61</v>
      </c>
      <c r="C36" s="41"/>
      <c r="D36" s="25" t="s">
        <v>251</v>
      </c>
      <c r="E36" s="90"/>
    </row>
    <row r="37" spans="1:5" x14ac:dyDescent="0.3">
      <c r="A37" s="6" t="s">
        <v>62</v>
      </c>
      <c r="B37" s="7"/>
      <c r="C37" s="41" t="s">
        <v>26</v>
      </c>
      <c r="D37" s="13"/>
      <c r="E37" s="90"/>
    </row>
    <row r="38" spans="1:5" x14ac:dyDescent="0.3">
      <c r="A38" s="6" t="s">
        <v>63</v>
      </c>
      <c r="B38" s="7"/>
      <c r="C38" s="41"/>
      <c r="D38" s="25" t="s">
        <v>241</v>
      </c>
      <c r="E38" s="90"/>
    </row>
    <row r="39" spans="1:5" x14ac:dyDescent="0.3">
      <c r="A39" s="6" t="s">
        <v>64</v>
      </c>
      <c r="B39" s="7"/>
      <c r="C39" s="41"/>
      <c r="D39" s="25" t="s">
        <v>241</v>
      </c>
      <c r="E39" s="90"/>
    </row>
    <row r="40" spans="1:5" x14ac:dyDescent="0.3">
      <c r="A40" s="6" t="s">
        <v>65</v>
      </c>
      <c r="B40" s="7"/>
      <c r="C40" s="41">
        <v>45292</v>
      </c>
      <c r="D40" s="25" t="s">
        <v>252</v>
      </c>
      <c r="E40" s="90"/>
    </row>
    <row r="41" spans="1:5" x14ac:dyDescent="0.3">
      <c r="A41" s="6" t="s">
        <v>66</v>
      </c>
      <c r="B41" s="7"/>
      <c r="C41" s="41" t="s">
        <v>26</v>
      </c>
      <c r="D41" s="13"/>
      <c r="E41" s="90"/>
    </row>
    <row r="42" spans="1:5" x14ac:dyDescent="0.3">
      <c r="A42" s="6" t="s">
        <v>67</v>
      </c>
      <c r="B42" s="7"/>
      <c r="C42" s="41"/>
      <c r="D42" s="25"/>
      <c r="E42" s="90"/>
    </row>
    <row r="43" spans="1:5" x14ac:dyDescent="0.3">
      <c r="A43" s="6" t="s">
        <v>68</v>
      </c>
      <c r="B43" s="7" t="s">
        <v>69</v>
      </c>
      <c r="C43" s="41">
        <v>0</v>
      </c>
      <c r="D43" s="25"/>
      <c r="E43" s="90"/>
    </row>
    <row r="44" spans="1:5" x14ac:dyDescent="0.3">
      <c r="A44" s="6" t="s">
        <v>70</v>
      </c>
      <c r="B44" s="7" t="s">
        <v>69</v>
      </c>
      <c r="C44" s="41">
        <v>45467</v>
      </c>
      <c r="D44" s="25"/>
      <c r="E44" s="90"/>
    </row>
    <row r="45" spans="1:5" x14ac:dyDescent="0.3">
      <c r="A45" s="6" t="s">
        <v>71</v>
      </c>
      <c r="B45" s="7" t="s">
        <v>72</v>
      </c>
      <c r="C45" s="41">
        <v>0</v>
      </c>
      <c r="D45" s="26" t="s">
        <v>98</v>
      </c>
      <c r="E45" s="90"/>
    </row>
    <row r="46" spans="1:5" ht="15" thickBot="1" x14ac:dyDescent="0.35">
      <c r="A46" s="3" t="s">
        <v>71</v>
      </c>
      <c r="B46" s="5" t="s">
        <v>73</v>
      </c>
      <c r="C46" s="43">
        <v>0</v>
      </c>
      <c r="D46" s="26"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gW6FygvTqKh3S07RRl5+ojj7doq/E2+cjjDmSq4HnnjcONQpxW5w6Hm3lVuqbTdhPTdOy7E6OEP9ezvFii8QQQ==" saltValue="mDrm14CAESo6QP59T4bHYA=="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73" priority="10">
      <formula>TODAY()-C3&gt;1095</formula>
    </cfRule>
    <cfRule type="expression" dxfId="72" priority="11">
      <formula>TODAY()-C3&lt;=1035</formula>
    </cfRule>
    <cfRule type="expression" dxfId="71" priority="12">
      <formula>AND(TODAY()-C3&gt;1035, TODAY()-C3&lt;=1095)</formula>
    </cfRule>
  </conditionalFormatting>
  <conditionalFormatting sqref="C5:C16 C18:C30 C32:C33 C37:C46">
    <cfRule type="expression" dxfId="70" priority="3">
      <formula>TODAY()-C5&gt;365</formula>
    </cfRule>
    <cfRule type="expression" dxfId="69" priority="13">
      <formula>AND(TODAY()-C5&gt;304, TODAY()-C5&lt;=365)</formula>
    </cfRule>
    <cfRule type="expression" dxfId="68" priority="14">
      <formula>TODAY()-C5&lt;=304</formula>
    </cfRule>
  </conditionalFormatting>
  <conditionalFormatting sqref="C17">
    <cfRule type="expression" dxfId="67" priority="7">
      <formula>TODAY()-C17&lt;=1765</formula>
    </cfRule>
    <cfRule type="expression" dxfId="66" priority="8">
      <formula>AND(TODAY()-C17&gt;1765, TODAY()-C17&lt;=1825)</formula>
    </cfRule>
    <cfRule type="expression" dxfId="65" priority="9">
      <formula>TODAY()-C17&gt;1825</formula>
    </cfRule>
  </conditionalFormatting>
  <conditionalFormatting sqref="C31">
    <cfRule type="expression" dxfId="64" priority="4">
      <formula>TODAY()-C31&lt;=669</formula>
    </cfRule>
    <cfRule type="expression" dxfId="63" priority="5">
      <formula>AND(TODAY()-C31&gt;669, TODAY()-C31&lt;=730)</formula>
    </cfRule>
    <cfRule type="expression" dxfId="62" priority="15">
      <formula>TODAY()-C31&gt;730</formula>
    </cfRule>
  </conditionalFormatting>
  <conditionalFormatting sqref="C35">
    <cfRule type="notContainsBlanks" dxfId="61" priority="1">
      <formula>LEN(TRIM(C35))&gt;0</formula>
    </cfRule>
    <cfRule type="containsBlanks" dxfId="60" priority="2">
      <formula>LEN(TRIM(C35))=0</formula>
    </cfRule>
  </conditionalFormatting>
  <pageMargins left="0.7" right="0.7" top="0.75" bottom="0.75" header="0.3" footer="0.3"/>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FEEA1-FDE7-445B-8C54-11C4D54553DC}">
  <sheetPr>
    <pageSetUpPr fitToPage="1"/>
  </sheetPr>
  <dimension ref="A1:E51"/>
  <sheetViews>
    <sheetView topLeftCell="A6" zoomScaleNormal="100" workbookViewId="0">
      <selection activeCell="D25" sqref="D25"/>
    </sheetView>
  </sheetViews>
  <sheetFormatPr baseColWidth="10" defaultColWidth="11.44140625" defaultRowHeight="14.4" x14ac:dyDescent="0.3"/>
  <cols>
    <col min="1" max="1" width="59.109375" bestFit="1" customWidth="1"/>
    <col min="2" max="2" width="23.33203125" bestFit="1" customWidth="1"/>
    <col min="3" max="3" width="21" customWidth="1"/>
    <col min="4" max="4" width="115.5546875" bestFit="1" customWidth="1"/>
    <col min="5" max="5" width="55.6640625" customWidth="1"/>
  </cols>
  <sheetData>
    <row r="1" spans="1:5" ht="14.4" customHeight="1" x14ac:dyDescent="0.3">
      <c r="A1" s="102" t="s">
        <v>0</v>
      </c>
      <c r="B1" s="103"/>
      <c r="C1" s="106" t="s">
        <v>79</v>
      </c>
      <c r="D1" s="108" t="s">
        <v>253</v>
      </c>
      <c r="E1" s="96" t="s">
        <v>81</v>
      </c>
    </row>
    <row r="2" spans="1:5" ht="15" thickBot="1" x14ac:dyDescent="0.35">
      <c r="A2" s="104"/>
      <c r="B2" s="105"/>
      <c r="C2" s="107"/>
      <c r="D2" s="109"/>
      <c r="E2" s="97"/>
    </row>
    <row r="3" spans="1:5" x14ac:dyDescent="0.3">
      <c r="A3" s="2" t="s">
        <v>24</v>
      </c>
      <c r="B3" s="20" t="s">
        <v>25</v>
      </c>
      <c r="C3" s="42">
        <v>45721</v>
      </c>
      <c r="D3" s="44" t="s">
        <v>254</v>
      </c>
      <c r="E3" s="89"/>
    </row>
    <row r="4" spans="1:5" x14ac:dyDescent="0.3">
      <c r="A4" s="6" t="s">
        <v>27</v>
      </c>
      <c r="B4" s="7" t="s">
        <v>28</v>
      </c>
      <c r="C4" s="41">
        <v>46007</v>
      </c>
      <c r="D4" s="45" t="s">
        <v>255</v>
      </c>
      <c r="E4" s="93" t="s">
        <v>256</v>
      </c>
    </row>
    <row r="5" spans="1:5" x14ac:dyDescent="0.3">
      <c r="A5" s="6" t="s">
        <v>29</v>
      </c>
      <c r="B5" s="7" t="s">
        <v>30</v>
      </c>
      <c r="C5" s="41">
        <v>45952</v>
      </c>
      <c r="D5" s="45"/>
      <c r="E5" s="90"/>
    </row>
    <row r="6" spans="1:5" x14ac:dyDescent="0.3">
      <c r="A6" s="6" t="s">
        <v>31</v>
      </c>
      <c r="B6" s="7" t="s">
        <v>30</v>
      </c>
      <c r="C6" s="41">
        <v>46055</v>
      </c>
      <c r="D6" s="45" t="s">
        <v>257</v>
      </c>
      <c r="E6" s="90"/>
    </row>
    <row r="7" spans="1:5" x14ac:dyDescent="0.3">
      <c r="A7" s="6" t="s">
        <v>32</v>
      </c>
      <c r="B7" s="7" t="s">
        <v>30</v>
      </c>
      <c r="C7" s="41">
        <v>45825</v>
      </c>
      <c r="D7" s="45"/>
      <c r="E7" s="90"/>
    </row>
    <row r="8" spans="1:5" ht="15" customHeight="1" x14ac:dyDescent="0.3">
      <c r="A8" s="110" t="s">
        <v>33</v>
      </c>
      <c r="B8" s="7">
        <v>1</v>
      </c>
      <c r="C8" s="41">
        <v>45692</v>
      </c>
      <c r="D8" s="46"/>
      <c r="E8" s="93"/>
    </row>
    <row r="9" spans="1:5" ht="15" customHeight="1" x14ac:dyDescent="0.3">
      <c r="A9" s="110"/>
      <c r="B9" s="7">
        <v>2</v>
      </c>
      <c r="C9" s="41">
        <v>46098</v>
      </c>
      <c r="D9" s="45" t="s">
        <v>258</v>
      </c>
      <c r="E9" s="90"/>
    </row>
    <row r="10" spans="1:5" x14ac:dyDescent="0.3">
      <c r="A10" s="111" t="s">
        <v>34</v>
      </c>
      <c r="B10" s="7">
        <v>1</v>
      </c>
      <c r="C10" s="41">
        <v>45981</v>
      </c>
      <c r="D10" s="46" t="s">
        <v>259</v>
      </c>
      <c r="E10" s="93" t="s">
        <v>260</v>
      </c>
    </row>
    <row r="11" spans="1:5" x14ac:dyDescent="0.3">
      <c r="A11" s="112"/>
      <c r="B11" s="7">
        <v>2</v>
      </c>
      <c r="C11" s="41">
        <v>0</v>
      </c>
      <c r="D11" s="45"/>
      <c r="E11" s="90"/>
    </row>
    <row r="12" spans="1:5" x14ac:dyDescent="0.3">
      <c r="A12" s="15" t="s">
        <v>35</v>
      </c>
      <c r="B12" s="7" t="s">
        <v>36</v>
      </c>
      <c r="C12" s="41">
        <v>45809</v>
      </c>
      <c r="D12" s="45" t="s">
        <v>261</v>
      </c>
      <c r="E12" s="90"/>
    </row>
    <row r="13" spans="1:5" x14ac:dyDescent="0.3">
      <c r="A13" s="6" t="s">
        <v>37</v>
      </c>
      <c r="B13" s="7" t="s">
        <v>38</v>
      </c>
      <c r="C13" s="41">
        <v>45835</v>
      </c>
      <c r="D13" s="95" t="s">
        <v>262</v>
      </c>
      <c r="E13" s="90"/>
    </row>
    <row r="14" spans="1:5" x14ac:dyDescent="0.3">
      <c r="A14" s="6" t="s">
        <v>39</v>
      </c>
      <c r="B14" s="7" t="s">
        <v>38</v>
      </c>
      <c r="C14" s="41">
        <v>45952</v>
      </c>
      <c r="D14" s="45" t="s">
        <v>263</v>
      </c>
      <c r="E14" s="93" t="s">
        <v>264</v>
      </c>
    </row>
    <row r="15" spans="1:5" ht="15" customHeight="1" x14ac:dyDescent="0.3">
      <c r="A15" s="110" t="s">
        <v>40</v>
      </c>
      <c r="B15" s="7" t="s">
        <v>30</v>
      </c>
      <c r="C15" s="41">
        <v>45617</v>
      </c>
      <c r="D15" s="45"/>
      <c r="E15" s="93" t="s">
        <v>265</v>
      </c>
    </row>
    <row r="16" spans="1:5" ht="15" customHeight="1" x14ac:dyDescent="0.3">
      <c r="A16" s="110"/>
      <c r="B16" s="7" t="s">
        <v>38</v>
      </c>
      <c r="C16" s="41">
        <v>45966</v>
      </c>
      <c r="E16" s="90"/>
    </row>
    <row r="17" spans="1:5" x14ac:dyDescent="0.3">
      <c r="A17" s="6" t="s">
        <v>41</v>
      </c>
      <c r="B17" s="7" t="s">
        <v>28</v>
      </c>
      <c r="C17" s="41">
        <v>45689</v>
      </c>
      <c r="D17" s="45"/>
      <c r="E17" s="90"/>
    </row>
    <row r="18" spans="1:5" ht="15" customHeight="1" x14ac:dyDescent="0.3">
      <c r="A18" s="110" t="s">
        <v>42</v>
      </c>
      <c r="B18" s="7" t="s">
        <v>30</v>
      </c>
      <c r="C18" s="41" t="s">
        <v>26</v>
      </c>
      <c r="D18" s="45"/>
      <c r="E18" s="90"/>
    </row>
    <row r="19" spans="1:5" ht="15" customHeight="1" x14ac:dyDescent="0.3">
      <c r="A19" s="110"/>
      <c r="B19" s="7" t="s">
        <v>38</v>
      </c>
      <c r="C19" s="41" t="s">
        <v>26</v>
      </c>
      <c r="D19" s="45"/>
      <c r="E19" s="90"/>
    </row>
    <row r="20" spans="1:5" x14ac:dyDescent="0.3">
      <c r="A20" s="6" t="s">
        <v>43</v>
      </c>
      <c r="B20" s="7" t="s">
        <v>38</v>
      </c>
      <c r="C20" s="41">
        <v>45692</v>
      </c>
      <c r="D20" s="45" t="s">
        <v>266</v>
      </c>
      <c r="E20" s="90"/>
    </row>
    <row r="21" spans="1:5" x14ac:dyDescent="0.3">
      <c r="A21" s="6" t="s">
        <v>44</v>
      </c>
      <c r="B21" s="7" t="s">
        <v>30</v>
      </c>
      <c r="C21" s="41" t="s">
        <v>26</v>
      </c>
      <c r="D21" s="45"/>
      <c r="E21" s="90"/>
    </row>
    <row r="22" spans="1:5" x14ac:dyDescent="0.3">
      <c r="A22" s="6" t="s">
        <v>45</v>
      </c>
      <c r="B22" s="7" t="s">
        <v>38</v>
      </c>
      <c r="C22" s="41" t="s">
        <v>26</v>
      </c>
      <c r="D22" s="45"/>
      <c r="E22" s="90"/>
    </row>
    <row r="23" spans="1:5" x14ac:dyDescent="0.3">
      <c r="A23" s="6" t="s">
        <v>46</v>
      </c>
      <c r="B23" s="7" t="s">
        <v>38</v>
      </c>
      <c r="C23" s="41" t="s">
        <v>26</v>
      </c>
      <c r="D23" s="45"/>
      <c r="E23" s="90"/>
    </row>
    <row r="24" spans="1:5" x14ac:dyDescent="0.3">
      <c r="A24" s="6" t="s">
        <v>47</v>
      </c>
      <c r="B24" s="7" t="s">
        <v>48</v>
      </c>
      <c r="C24" s="41">
        <v>45825</v>
      </c>
      <c r="D24" s="45"/>
      <c r="E24" s="90"/>
    </row>
    <row r="25" spans="1:5" ht="22.5" customHeight="1" x14ac:dyDescent="0.3">
      <c r="A25" s="6" t="s">
        <v>49</v>
      </c>
      <c r="B25" s="7" t="s">
        <v>38</v>
      </c>
      <c r="C25" s="41">
        <v>45444</v>
      </c>
      <c r="D25" s="45" t="s">
        <v>267</v>
      </c>
      <c r="E25" s="93" t="s">
        <v>268</v>
      </c>
    </row>
    <row r="26" spans="1:5" x14ac:dyDescent="0.3">
      <c r="A26" s="6" t="s">
        <v>50</v>
      </c>
      <c r="B26" s="7" t="s">
        <v>38</v>
      </c>
      <c r="C26" s="41">
        <v>45658</v>
      </c>
      <c r="D26" s="45" t="s">
        <v>269</v>
      </c>
      <c r="E26" s="90"/>
    </row>
    <row r="27" spans="1:5" x14ac:dyDescent="0.3">
      <c r="A27" s="110" t="s">
        <v>51</v>
      </c>
      <c r="B27" s="7" t="s">
        <v>30</v>
      </c>
      <c r="C27" s="41" t="s">
        <v>26</v>
      </c>
      <c r="D27" s="45"/>
      <c r="E27" s="90"/>
    </row>
    <row r="28" spans="1:5" x14ac:dyDescent="0.3">
      <c r="A28" s="110"/>
      <c r="B28" s="7" t="s">
        <v>38</v>
      </c>
      <c r="C28" s="41" t="s">
        <v>26</v>
      </c>
      <c r="D28" s="45"/>
      <c r="E28" s="90"/>
    </row>
    <row r="29" spans="1:5" x14ac:dyDescent="0.3">
      <c r="A29" s="6" t="s">
        <v>52</v>
      </c>
      <c r="B29" s="7"/>
      <c r="C29" s="41"/>
      <c r="D29" s="45" t="s">
        <v>270</v>
      </c>
      <c r="E29" s="90"/>
    </row>
    <row r="30" spans="1:5" x14ac:dyDescent="0.3">
      <c r="A30" s="6" t="s">
        <v>53</v>
      </c>
      <c r="B30" s="7"/>
      <c r="C30" s="41">
        <v>0</v>
      </c>
      <c r="D30" s="45" t="s">
        <v>270</v>
      </c>
      <c r="E30" s="90"/>
    </row>
    <row r="31" spans="1:5" x14ac:dyDescent="0.3">
      <c r="A31" s="6" t="s">
        <v>54</v>
      </c>
      <c r="B31" s="7" t="s">
        <v>55</v>
      </c>
      <c r="C31" s="41">
        <v>0</v>
      </c>
      <c r="D31" s="45" t="s">
        <v>271</v>
      </c>
      <c r="E31" s="90"/>
    </row>
    <row r="32" spans="1:5" x14ac:dyDescent="0.3">
      <c r="A32" s="6" t="s">
        <v>56</v>
      </c>
      <c r="B32" s="7" t="s">
        <v>55</v>
      </c>
      <c r="C32" s="41">
        <v>45943</v>
      </c>
      <c r="D32" s="45"/>
      <c r="E32" s="90"/>
    </row>
    <row r="33" spans="1:5" x14ac:dyDescent="0.3">
      <c r="A33" s="6" t="s">
        <v>57</v>
      </c>
      <c r="B33" s="7" t="s">
        <v>55</v>
      </c>
      <c r="C33" s="41">
        <v>45231</v>
      </c>
      <c r="D33" s="45" t="s">
        <v>271</v>
      </c>
      <c r="E33" s="90"/>
    </row>
    <row r="34" spans="1:5" x14ac:dyDescent="0.3">
      <c r="A34" s="6" t="s">
        <v>58</v>
      </c>
      <c r="B34" s="7" t="s">
        <v>55</v>
      </c>
      <c r="C34" s="41">
        <v>45770</v>
      </c>
      <c r="D34" s="45"/>
      <c r="E34" s="90"/>
    </row>
    <row r="35" spans="1:5" x14ac:dyDescent="0.3">
      <c r="A35" s="6" t="s">
        <v>59</v>
      </c>
      <c r="B35" s="7"/>
      <c r="C35" s="41">
        <v>0</v>
      </c>
      <c r="D35" s="45" t="s">
        <v>272</v>
      </c>
      <c r="E35" s="93" t="s">
        <v>273</v>
      </c>
    </row>
    <row r="36" spans="1:5" x14ac:dyDescent="0.3">
      <c r="A36" s="6" t="s">
        <v>60</v>
      </c>
      <c r="B36" s="7" t="s">
        <v>61</v>
      </c>
      <c r="C36" s="41">
        <v>41821</v>
      </c>
      <c r="D36" s="45" t="s">
        <v>272</v>
      </c>
      <c r="E36" s="93" t="s">
        <v>273</v>
      </c>
    </row>
    <row r="37" spans="1:5" x14ac:dyDescent="0.3">
      <c r="A37" s="6" t="s">
        <v>62</v>
      </c>
      <c r="B37" s="7"/>
      <c r="C37" s="41"/>
      <c r="D37" s="45" t="s">
        <v>274</v>
      </c>
      <c r="E37" s="90"/>
    </row>
    <row r="38" spans="1:5" x14ac:dyDescent="0.3">
      <c r="A38" s="6" t="s">
        <v>63</v>
      </c>
      <c r="B38" s="7"/>
      <c r="C38" s="41"/>
      <c r="D38" s="45" t="s">
        <v>274</v>
      </c>
      <c r="E38" s="90"/>
    </row>
    <row r="39" spans="1:5" x14ac:dyDescent="0.3">
      <c r="A39" s="6" t="s">
        <v>64</v>
      </c>
      <c r="B39" s="7"/>
      <c r="C39" s="41"/>
      <c r="D39" s="45" t="s">
        <v>274</v>
      </c>
      <c r="E39" s="90"/>
    </row>
    <row r="40" spans="1:5" x14ac:dyDescent="0.3">
      <c r="A40" s="6" t="s">
        <v>65</v>
      </c>
      <c r="B40" s="7"/>
      <c r="C40" s="41">
        <v>45811</v>
      </c>
      <c r="D40" s="45"/>
      <c r="E40" s="90"/>
    </row>
    <row r="41" spans="1:5" x14ac:dyDescent="0.3">
      <c r="A41" s="6" t="s">
        <v>66</v>
      </c>
      <c r="B41" s="7"/>
      <c r="C41" s="41">
        <v>0</v>
      </c>
      <c r="D41" s="45" t="s">
        <v>210</v>
      </c>
      <c r="E41" s="90"/>
    </row>
    <row r="42" spans="1:5" x14ac:dyDescent="0.3">
      <c r="A42" s="6" t="s">
        <v>67</v>
      </c>
      <c r="B42" s="7"/>
      <c r="C42" s="41">
        <v>45811</v>
      </c>
      <c r="D42" s="45"/>
      <c r="E42" s="90"/>
    </row>
    <row r="43" spans="1:5" x14ac:dyDescent="0.3">
      <c r="A43" s="6" t="s">
        <v>68</v>
      </c>
      <c r="B43" s="7" t="s">
        <v>69</v>
      </c>
      <c r="C43" s="41">
        <v>45566</v>
      </c>
      <c r="D43" s="45" t="s">
        <v>275</v>
      </c>
      <c r="E43" s="93" t="s">
        <v>276</v>
      </c>
    </row>
    <row r="44" spans="1:5" x14ac:dyDescent="0.3">
      <c r="A44" s="6" t="s">
        <v>70</v>
      </c>
      <c r="B44" s="7" t="s">
        <v>69</v>
      </c>
      <c r="C44" s="41">
        <v>45566</v>
      </c>
      <c r="D44" s="45" t="s">
        <v>277</v>
      </c>
      <c r="E44" s="93" t="s">
        <v>278</v>
      </c>
    </row>
    <row r="45" spans="1:5" x14ac:dyDescent="0.3">
      <c r="A45" s="6" t="s">
        <v>71</v>
      </c>
      <c r="B45" s="7" t="s">
        <v>72</v>
      </c>
      <c r="C45" s="41">
        <v>44805</v>
      </c>
      <c r="D45" s="45" t="s">
        <v>98</v>
      </c>
      <c r="E45" s="90"/>
    </row>
    <row r="46" spans="1:5" ht="15" thickBot="1" x14ac:dyDescent="0.35">
      <c r="A46" s="3" t="s">
        <v>71</v>
      </c>
      <c r="B46" s="5" t="s">
        <v>73</v>
      </c>
      <c r="C46" s="43">
        <v>44805</v>
      </c>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mE5n1LWB3hzhom6NnDEpSNk9oQkRgWxIKU2xhC2qHE8zSI5mt2nqDwcdrdup4CP9qo/CwDI3e1LBQqoetyGBNg==" saltValue="TELDDi5axAGNq5cyCNM/dA=="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59" priority="12">
      <formula>TODAY()-C3&gt;1095</formula>
    </cfRule>
    <cfRule type="expression" dxfId="58" priority="13">
      <formula>TODAY()-C3&lt;=1035</formula>
    </cfRule>
    <cfRule type="expression" dxfId="57" priority="14">
      <formula>AND(TODAY()-C3&gt;1035, TODAY()-C3&lt;=1095)</formula>
    </cfRule>
  </conditionalFormatting>
  <conditionalFormatting sqref="C5:C13 C15:C16 C18:C30 C32:C33 C37:C46">
    <cfRule type="expression" dxfId="56" priority="5">
      <formula>TODAY()-C5&gt;365</formula>
    </cfRule>
    <cfRule type="expression" dxfId="55" priority="15">
      <formula>AND(TODAY()-C5&gt;304, TODAY()-C5&lt;=365)</formula>
    </cfRule>
    <cfRule type="expression" dxfId="54" priority="16">
      <formula>TODAY()-C5&lt;=304</formula>
    </cfRule>
  </conditionalFormatting>
  <conditionalFormatting sqref="C14">
    <cfRule type="expression" dxfId="53" priority="1">
      <formula>TODAY()-C14&lt;=30</formula>
    </cfRule>
    <cfRule type="expression" dxfId="52" priority="2">
      <formula>TODAY()-C14&gt;30</formula>
    </cfRule>
  </conditionalFormatting>
  <conditionalFormatting sqref="C17">
    <cfRule type="expression" dxfId="51" priority="9">
      <formula>TODAY()-C17&lt;=1765</formula>
    </cfRule>
    <cfRule type="expression" dxfId="50" priority="10">
      <formula>AND(TODAY()-C17&gt;1765, TODAY()-C17&lt;=1825)</formula>
    </cfRule>
    <cfRule type="expression" dxfId="49" priority="11">
      <formula>TODAY()-C17&gt;1825</formula>
    </cfRule>
  </conditionalFormatting>
  <conditionalFormatting sqref="C31">
    <cfRule type="expression" dxfId="48" priority="6">
      <formula>TODAY()-C31&lt;=669</formula>
    </cfRule>
    <cfRule type="expression" dxfId="47" priority="7">
      <formula>AND(TODAY()-C31&gt;669, TODAY()-C31&lt;=730)</formula>
    </cfRule>
    <cfRule type="expression" dxfId="46" priority="17">
      <formula>TODAY()-C31&gt;730</formula>
    </cfRule>
  </conditionalFormatting>
  <conditionalFormatting sqref="C35">
    <cfRule type="notContainsBlanks" dxfId="45" priority="3">
      <formula>LEN(TRIM(C35))&gt;0</formula>
    </cfRule>
    <cfRule type="containsBlanks" dxfId="44" priority="4">
      <formula>LEN(TRIM(C35))=0</formula>
    </cfRule>
  </conditionalFormatting>
  <pageMargins left="0.7" right="0.7" top="0.75" bottom="0.75" header="0.3" footer="0.3"/>
  <pageSetup paperSize="9"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9496E-CF68-4F1E-80AA-DE2A5D623FF0}">
  <sheetPr>
    <pageSetUpPr fitToPage="1"/>
  </sheetPr>
  <dimension ref="A1:E51"/>
  <sheetViews>
    <sheetView topLeftCell="B1" zoomScale="80" zoomScaleNormal="80" workbookViewId="0">
      <selection activeCell="D11" sqref="D11"/>
    </sheetView>
  </sheetViews>
  <sheetFormatPr baseColWidth="10" defaultColWidth="11.44140625" defaultRowHeight="14.4" x14ac:dyDescent="0.3"/>
  <cols>
    <col min="1" max="1" width="59.109375" bestFit="1" customWidth="1"/>
    <col min="2" max="2" width="23.33203125" bestFit="1" customWidth="1"/>
    <col min="3" max="3" width="21" customWidth="1"/>
    <col min="4" max="4" width="161.109375" bestFit="1" customWidth="1"/>
    <col min="5" max="5" width="31.5546875" bestFit="1" customWidth="1"/>
  </cols>
  <sheetData>
    <row r="1" spans="1:5" ht="14.4" customHeight="1" x14ac:dyDescent="0.3">
      <c r="A1" s="102" t="s">
        <v>0</v>
      </c>
      <c r="B1" s="103"/>
      <c r="C1" s="106" t="s">
        <v>79</v>
      </c>
      <c r="D1" s="108" t="s">
        <v>279</v>
      </c>
      <c r="E1" s="96" t="s">
        <v>81</v>
      </c>
    </row>
    <row r="2" spans="1:5" ht="15" thickBot="1" x14ac:dyDescent="0.35">
      <c r="A2" s="104"/>
      <c r="B2" s="105"/>
      <c r="C2" s="107"/>
      <c r="D2" s="109"/>
      <c r="E2" s="97"/>
    </row>
    <row r="3" spans="1:5" x14ac:dyDescent="0.3">
      <c r="A3" s="2" t="s">
        <v>24</v>
      </c>
      <c r="B3" s="20" t="s">
        <v>25</v>
      </c>
      <c r="C3" s="42">
        <v>45581</v>
      </c>
      <c r="D3" s="44" t="s">
        <v>280</v>
      </c>
      <c r="E3" s="89"/>
    </row>
    <row r="4" spans="1:5" x14ac:dyDescent="0.3">
      <c r="A4" s="6" t="s">
        <v>27</v>
      </c>
      <c r="B4" s="7" t="s">
        <v>28</v>
      </c>
      <c r="C4" s="41">
        <v>45231</v>
      </c>
      <c r="D4" s="25" t="s">
        <v>281</v>
      </c>
      <c r="E4" s="90"/>
    </row>
    <row r="5" spans="1:5" x14ac:dyDescent="0.3">
      <c r="A5" s="6" t="s">
        <v>29</v>
      </c>
      <c r="B5" s="7" t="s">
        <v>30</v>
      </c>
      <c r="C5" s="41">
        <v>45790</v>
      </c>
      <c r="D5" s="45"/>
      <c r="E5" s="90"/>
    </row>
    <row r="6" spans="1:5" x14ac:dyDescent="0.3">
      <c r="A6" s="6" t="s">
        <v>31</v>
      </c>
      <c r="B6" s="7" t="s">
        <v>30</v>
      </c>
      <c r="C6" s="41">
        <v>46035</v>
      </c>
      <c r="D6" s="45"/>
      <c r="E6" s="90"/>
    </row>
    <row r="7" spans="1:5" x14ac:dyDescent="0.3">
      <c r="A7" s="6" t="s">
        <v>32</v>
      </c>
      <c r="B7" s="7" t="s">
        <v>30</v>
      </c>
      <c r="C7" s="41" t="s">
        <v>26</v>
      </c>
      <c r="D7" s="45"/>
      <c r="E7" s="90"/>
    </row>
    <row r="8" spans="1:5" ht="15" customHeight="1" x14ac:dyDescent="0.3">
      <c r="A8" s="110" t="s">
        <v>33</v>
      </c>
      <c r="B8" s="7">
        <v>1</v>
      </c>
      <c r="C8" s="41">
        <v>45597</v>
      </c>
      <c r="D8" s="46" t="s">
        <v>282</v>
      </c>
      <c r="E8" s="90"/>
    </row>
    <row r="9" spans="1:5" ht="15" customHeight="1" x14ac:dyDescent="0.3">
      <c r="A9" s="110"/>
      <c r="B9" s="7">
        <v>2</v>
      </c>
      <c r="C9" s="41">
        <v>45721</v>
      </c>
      <c r="D9" s="45" t="s">
        <v>282</v>
      </c>
      <c r="E9" s="90"/>
    </row>
    <row r="10" spans="1:5" x14ac:dyDescent="0.3">
      <c r="A10" s="111" t="s">
        <v>34</v>
      </c>
      <c r="B10" s="7">
        <v>1</v>
      </c>
      <c r="C10" s="41">
        <v>46003</v>
      </c>
      <c r="D10" s="46"/>
      <c r="E10" s="90"/>
    </row>
    <row r="11" spans="1:5" x14ac:dyDescent="0.3">
      <c r="A11" s="112"/>
      <c r="B11" s="7">
        <v>2</v>
      </c>
      <c r="C11" s="41">
        <v>46107</v>
      </c>
      <c r="D11" s="45" t="s">
        <v>283</v>
      </c>
      <c r="E11" s="90"/>
    </row>
    <row r="12" spans="1:5" x14ac:dyDescent="0.3">
      <c r="A12" s="15" t="s">
        <v>35</v>
      </c>
      <c r="B12" s="7" t="s">
        <v>36</v>
      </c>
      <c r="C12" s="41">
        <v>45809</v>
      </c>
      <c r="D12" s="45" t="s">
        <v>284</v>
      </c>
      <c r="E12" s="90"/>
    </row>
    <row r="13" spans="1:5" x14ac:dyDescent="0.3">
      <c r="A13" s="6" t="s">
        <v>37</v>
      </c>
      <c r="B13" s="7" t="s">
        <v>38</v>
      </c>
      <c r="C13" s="41">
        <v>45919</v>
      </c>
      <c r="D13" s="45" t="s">
        <v>285</v>
      </c>
      <c r="E13" s="90"/>
    </row>
    <row r="14" spans="1:5" x14ac:dyDescent="0.3">
      <c r="A14" s="6" t="s">
        <v>39</v>
      </c>
      <c r="B14" s="7" t="s">
        <v>38</v>
      </c>
      <c r="C14" s="41"/>
      <c r="D14" s="45" t="s">
        <v>286</v>
      </c>
      <c r="E14" s="90"/>
    </row>
    <row r="15" spans="1:5" ht="15" customHeight="1" x14ac:dyDescent="0.3">
      <c r="A15" s="110" t="s">
        <v>40</v>
      </c>
      <c r="B15" s="7" t="s">
        <v>30</v>
      </c>
      <c r="C15" s="41" t="s">
        <v>26</v>
      </c>
      <c r="D15" s="45"/>
      <c r="E15" s="90"/>
    </row>
    <row r="16" spans="1:5" ht="15" customHeight="1" x14ac:dyDescent="0.3">
      <c r="A16" s="110"/>
      <c r="B16" s="7" t="s">
        <v>38</v>
      </c>
      <c r="C16" s="41" t="s">
        <v>26</v>
      </c>
      <c r="D16" s="45"/>
      <c r="E16" s="90"/>
    </row>
    <row r="17" spans="1:5" x14ac:dyDescent="0.3">
      <c r="A17" s="6" t="s">
        <v>41</v>
      </c>
      <c r="B17" s="7" t="s">
        <v>28</v>
      </c>
      <c r="C17" s="41" t="s">
        <v>26</v>
      </c>
      <c r="D17" s="25"/>
      <c r="E17" s="90"/>
    </row>
    <row r="18" spans="1:5" ht="15" customHeight="1" x14ac:dyDescent="0.3">
      <c r="A18" s="110" t="s">
        <v>42</v>
      </c>
      <c r="B18" s="7" t="s">
        <v>30</v>
      </c>
      <c r="C18" s="41" t="s">
        <v>26</v>
      </c>
      <c r="D18" s="45"/>
      <c r="E18" s="90"/>
    </row>
    <row r="19" spans="1:5" ht="15" customHeight="1" x14ac:dyDescent="0.3">
      <c r="A19" s="110"/>
      <c r="B19" s="7" t="s">
        <v>38</v>
      </c>
      <c r="C19" s="41" t="s">
        <v>26</v>
      </c>
      <c r="D19" s="45"/>
      <c r="E19" s="90"/>
    </row>
    <row r="20" spans="1:5" x14ac:dyDescent="0.3">
      <c r="A20" s="6" t="s">
        <v>43</v>
      </c>
      <c r="B20" s="7" t="s">
        <v>38</v>
      </c>
      <c r="C20" s="41">
        <v>46122</v>
      </c>
      <c r="D20" s="25" t="s">
        <v>287</v>
      </c>
      <c r="E20" s="90"/>
    </row>
    <row r="21" spans="1:5" x14ac:dyDescent="0.3">
      <c r="A21" s="6" t="s">
        <v>44</v>
      </c>
      <c r="B21" s="7" t="s">
        <v>30</v>
      </c>
      <c r="C21" s="41" t="s">
        <v>26</v>
      </c>
      <c r="D21" s="25"/>
      <c r="E21" s="90"/>
    </row>
    <row r="22" spans="1:5" x14ac:dyDescent="0.3">
      <c r="A22" s="6" t="s">
        <v>45</v>
      </c>
      <c r="B22" s="7" t="s">
        <v>38</v>
      </c>
      <c r="C22" s="41" t="s">
        <v>26</v>
      </c>
      <c r="D22" s="25"/>
      <c r="E22" s="90"/>
    </row>
    <row r="23" spans="1:5" x14ac:dyDescent="0.3">
      <c r="A23" s="6" t="s">
        <v>46</v>
      </c>
      <c r="B23" s="7" t="s">
        <v>38</v>
      </c>
      <c r="C23" s="41" t="s">
        <v>26</v>
      </c>
      <c r="D23" s="25"/>
      <c r="E23" s="90"/>
    </row>
    <row r="24" spans="1:5" x14ac:dyDescent="0.3">
      <c r="A24" s="6" t="s">
        <v>47</v>
      </c>
      <c r="B24" s="7" t="s">
        <v>48</v>
      </c>
      <c r="C24" s="41">
        <v>0</v>
      </c>
      <c r="D24" s="25" t="s">
        <v>288</v>
      </c>
      <c r="E24" s="90"/>
    </row>
    <row r="25" spans="1:5" x14ac:dyDescent="0.3">
      <c r="A25" s="6" t="s">
        <v>49</v>
      </c>
      <c r="B25" s="7" t="s">
        <v>38</v>
      </c>
      <c r="C25" s="41">
        <v>45919</v>
      </c>
      <c r="D25" s="25"/>
      <c r="E25" s="90"/>
    </row>
    <row r="26" spans="1:5" x14ac:dyDescent="0.3">
      <c r="A26" s="6" t="s">
        <v>50</v>
      </c>
      <c r="B26" s="7" t="s">
        <v>38</v>
      </c>
      <c r="C26" s="41">
        <v>45919</v>
      </c>
      <c r="D26" s="25" t="s">
        <v>289</v>
      </c>
      <c r="E26" s="90"/>
    </row>
    <row r="27" spans="1:5" x14ac:dyDescent="0.3">
      <c r="A27" s="110" t="s">
        <v>51</v>
      </c>
      <c r="B27" s="7" t="s">
        <v>30</v>
      </c>
      <c r="C27" s="41">
        <v>45750</v>
      </c>
      <c r="D27" s="25"/>
      <c r="E27" s="90"/>
    </row>
    <row r="28" spans="1:5" x14ac:dyDescent="0.3">
      <c r="A28" s="110"/>
      <c r="B28" s="7" t="s">
        <v>38</v>
      </c>
      <c r="C28" s="41">
        <v>0</v>
      </c>
      <c r="D28" s="25" t="s">
        <v>290</v>
      </c>
      <c r="E28" s="90"/>
    </row>
    <row r="29" spans="1:5" x14ac:dyDescent="0.3">
      <c r="A29" s="6" t="s">
        <v>52</v>
      </c>
      <c r="B29" s="7"/>
      <c r="C29" s="41">
        <v>45861</v>
      </c>
      <c r="D29" s="45"/>
      <c r="E29" s="90"/>
    </row>
    <row r="30" spans="1:5" x14ac:dyDescent="0.3">
      <c r="A30" s="6" t="s">
        <v>53</v>
      </c>
      <c r="B30" s="7"/>
      <c r="C30" s="41">
        <v>45861</v>
      </c>
      <c r="D30" s="25"/>
      <c r="E30" s="90"/>
    </row>
    <row r="31" spans="1:5" x14ac:dyDescent="0.3">
      <c r="A31" s="6" t="s">
        <v>54</v>
      </c>
      <c r="B31" s="7" t="s">
        <v>55</v>
      </c>
      <c r="C31" s="41">
        <v>45536</v>
      </c>
      <c r="D31" s="25" t="s">
        <v>291</v>
      </c>
      <c r="E31" s="90"/>
    </row>
    <row r="32" spans="1:5" x14ac:dyDescent="0.3">
      <c r="A32" s="6" t="s">
        <v>56</v>
      </c>
      <c r="B32" s="7" t="s">
        <v>55</v>
      </c>
      <c r="C32" s="41">
        <v>45943</v>
      </c>
      <c r="D32" s="25" t="s">
        <v>291</v>
      </c>
      <c r="E32" s="90"/>
    </row>
    <row r="33" spans="1:5" x14ac:dyDescent="0.3">
      <c r="A33" s="6" t="s">
        <v>57</v>
      </c>
      <c r="B33" s="7" t="s">
        <v>55</v>
      </c>
      <c r="C33" s="41">
        <v>45383</v>
      </c>
      <c r="D33" s="25" t="s">
        <v>292</v>
      </c>
      <c r="E33" s="90"/>
    </row>
    <row r="34" spans="1:5" x14ac:dyDescent="0.3">
      <c r="A34" s="6" t="s">
        <v>58</v>
      </c>
      <c r="B34" s="7" t="s">
        <v>55</v>
      </c>
      <c r="C34" s="41">
        <v>45770</v>
      </c>
      <c r="D34" s="25"/>
      <c r="E34" s="90"/>
    </row>
    <row r="35" spans="1:5" x14ac:dyDescent="0.3">
      <c r="A35" s="6" t="s">
        <v>59</v>
      </c>
      <c r="B35" s="7"/>
      <c r="C35" s="41"/>
      <c r="D35" s="25" t="s">
        <v>293</v>
      </c>
      <c r="E35" s="90"/>
    </row>
    <row r="36" spans="1:5" x14ac:dyDescent="0.3">
      <c r="A36" s="6" t="s">
        <v>60</v>
      </c>
      <c r="B36" s="7" t="s">
        <v>61</v>
      </c>
      <c r="C36" s="41" t="s">
        <v>26</v>
      </c>
      <c r="D36" s="25" t="s">
        <v>294</v>
      </c>
      <c r="E36" s="90"/>
    </row>
    <row r="37" spans="1:5" x14ac:dyDescent="0.3">
      <c r="A37" s="6" t="s">
        <v>62</v>
      </c>
      <c r="B37" s="7"/>
      <c r="C37" s="41"/>
      <c r="D37" s="25" t="s">
        <v>197</v>
      </c>
      <c r="E37" s="90"/>
    </row>
    <row r="38" spans="1:5" x14ac:dyDescent="0.3">
      <c r="A38" s="6" t="s">
        <v>63</v>
      </c>
      <c r="B38" s="7"/>
      <c r="C38" s="41"/>
      <c r="D38" s="25" t="s">
        <v>197</v>
      </c>
      <c r="E38" s="90"/>
    </row>
    <row r="39" spans="1:5" x14ac:dyDescent="0.3">
      <c r="A39" s="6" t="s">
        <v>64</v>
      </c>
      <c r="B39" s="7"/>
      <c r="C39" s="41"/>
      <c r="D39" s="25" t="s">
        <v>197</v>
      </c>
      <c r="E39" s="90"/>
    </row>
    <row r="40" spans="1:5" x14ac:dyDescent="0.3">
      <c r="A40" s="6" t="s">
        <v>65</v>
      </c>
      <c r="B40" s="7"/>
      <c r="C40" s="41">
        <v>45536</v>
      </c>
      <c r="D40" s="25"/>
      <c r="E40" s="90"/>
    </row>
    <row r="41" spans="1:5" x14ac:dyDescent="0.3">
      <c r="A41" s="6" t="s">
        <v>66</v>
      </c>
      <c r="B41" s="7"/>
      <c r="C41" s="41"/>
      <c r="D41" s="25" t="s">
        <v>295</v>
      </c>
      <c r="E41" s="90"/>
    </row>
    <row r="42" spans="1:5" x14ac:dyDescent="0.3">
      <c r="A42" s="6" t="s">
        <v>67</v>
      </c>
      <c r="B42" s="7"/>
      <c r="C42" s="41">
        <v>45261</v>
      </c>
      <c r="D42" s="25"/>
      <c r="E42" s="90"/>
    </row>
    <row r="43" spans="1:5" x14ac:dyDescent="0.3">
      <c r="A43" s="6" t="s">
        <v>68</v>
      </c>
      <c r="B43" s="7" t="s">
        <v>69</v>
      </c>
      <c r="C43" s="41">
        <v>45566</v>
      </c>
      <c r="D43" s="25" t="s">
        <v>296</v>
      </c>
      <c r="E43" s="90"/>
    </row>
    <row r="44" spans="1:5" x14ac:dyDescent="0.3">
      <c r="A44" s="6" t="s">
        <v>70</v>
      </c>
      <c r="B44" s="7" t="s">
        <v>69</v>
      </c>
      <c r="C44" s="41">
        <v>45566</v>
      </c>
      <c r="D44" s="25" t="s">
        <v>297</v>
      </c>
      <c r="E44" s="90"/>
    </row>
    <row r="45" spans="1:5" x14ac:dyDescent="0.3">
      <c r="A45" s="6" t="s">
        <v>71</v>
      </c>
      <c r="B45" s="7" t="s">
        <v>72</v>
      </c>
      <c r="C45" s="41"/>
      <c r="D45" s="45" t="s">
        <v>98</v>
      </c>
      <c r="E45" s="90"/>
    </row>
    <row r="46" spans="1:5" ht="15" thickBot="1" x14ac:dyDescent="0.35">
      <c r="A46" s="3" t="s">
        <v>71</v>
      </c>
      <c r="B46" s="5" t="s">
        <v>73</v>
      </c>
      <c r="C46" s="43">
        <v>45533</v>
      </c>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ioxZwF/bwpnC0n3yUIw/CZaUj0JIRxkj1lqB/B6rBKvjMWZXhy5gt1YGQLcApeqKZbtTNmGBpMDTvg+LOdKTRQ==" saltValue="iKIHi5fXRSPK0TxWAB3cwQ=="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43" priority="12">
      <formula>TODAY()-C3&gt;1095</formula>
    </cfRule>
    <cfRule type="expression" dxfId="42" priority="13">
      <formula>TODAY()-C3&lt;=1035</formula>
    </cfRule>
    <cfRule type="expression" dxfId="41" priority="14">
      <formula>AND(TODAY()-C3&gt;1035, TODAY()-C3&lt;=1095)</formula>
    </cfRule>
  </conditionalFormatting>
  <conditionalFormatting sqref="C5:C13 C15:C16 C18:C30 C32:C33 C37:C46">
    <cfRule type="expression" dxfId="40" priority="5">
      <formula>TODAY()-C5&gt;365</formula>
    </cfRule>
    <cfRule type="expression" dxfId="39" priority="15">
      <formula>AND(TODAY()-C5&gt;304, TODAY()-C5&lt;=365)</formula>
    </cfRule>
    <cfRule type="expression" dxfId="38" priority="16">
      <formula>TODAY()-C5&lt;=304</formula>
    </cfRule>
  </conditionalFormatting>
  <conditionalFormatting sqref="C14">
    <cfRule type="expression" dxfId="37" priority="1">
      <formula>TODAY()-C14&lt;=30</formula>
    </cfRule>
    <cfRule type="expression" dxfId="36" priority="2">
      <formula>TODAY()-C14&gt;30</formula>
    </cfRule>
  </conditionalFormatting>
  <conditionalFormatting sqref="C17">
    <cfRule type="expression" dxfId="35" priority="9">
      <formula>TODAY()-C17&lt;=1765</formula>
    </cfRule>
    <cfRule type="expression" dxfId="34" priority="10">
      <formula>AND(TODAY()-C17&gt;1765, TODAY()-C17&lt;=1825)</formula>
    </cfRule>
    <cfRule type="expression" dxfId="33" priority="11">
      <formula>TODAY()-C17&gt;1825</formula>
    </cfRule>
  </conditionalFormatting>
  <conditionalFormatting sqref="C31">
    <cfRule type="expression" dxfId="32" priority="6">
      <formula>TODAY()-C31&lt;=669</formula>
    </cfRule>
    <cfRule type="expression" dxfId="31" priority="7">
      <formula>AND(TODAY()-C31&gt;669, TODAY()-C31&lt;=730)</formula>
    </cfRule>
    <cfRule type="expression" dxfId="30" priority="17">
      <formula>TODAY()-C31&gt;730</formula>
    </cfRule>
  </conditionalFormatting>
  <conditionalFormatting sqref="C35">
    <cfRule type="notContainsBlanks" dxfId="29" priority="3">
      <formula>LEN(TRIM(C35))&gt;0</formula>
    </cfRule>
    <cfRule type="containsBlanks" dxfId="28" priority="4">
      <formula>LEN(TRIM(C35))=0</formula>
    </cfRule>
  </conditionalFormatting>
  <pageMargins left="0.7" right="0.7" top="0.75" bottom="0.75" header="0.3" footer="0.3"/>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50BD-8911-4C14-AE6E-B8D4D5B220D1}">
  <sheetPr>
    <pageSetUpPr fitToPage="1"/>
  </sheetPr>
  <dimension ref="A1:E51"/>
  <sheetViews>
    <sheetView workbookViewId="0">
      <selection activeCell="D17" sqref="D17"/>
    </sheetView>
  </sheetViews>
  <sheetFormatPr baseColWidth="10" defaultColWidth="11.44140625" defaultRowHeight="14.4" x14ac:dyDescent="0.3"/>
  <cols>
    <col min="1" max="1" width="59.109375" bestFit="1" customWidth="1"/>
    <col min="2" max="2" width="23.33203125" bestFit="1" customWidth="1"/>
    <col min="3" max="3" width="21" customWidth="1"/>
    <col min="4" max="4" width="123.109375" bestFit="1" customWidth="1"/>
    <col min="5" max="5" width="31.5546875" bestFit="1" customWidth="1"/>
  </cols>
  <sheetData>
    <row r="1" spans="1:5" ht="14.4" customHeight="1" x14ac:dyDescent="0.3">
      <c r="A1" s="102" t="s">
        <v>0</v>
      </c>
      <c r="B1" s="103"/>
      <c r="C1" s="106" t="s">
        <v>79</v>
      </c>
      <c r="D1" s="108" t="s">
        <v>298</v>
      </c>
      <c r="E1" s="96" t="s">
        <v>81</v>
      </c>
    </row>
    <row r="2" spans="1:5" ht="15" thickBot="1" x14ac:dyDescent="0.35">
      <c r="A2" s="104"/>
      <c r="B2" s="105"/>
      <c r="C2" s="107"/>
      <c r="D2" s="109"/>
      <c r="E2" s="97"/>
    </row>
    <row r="3" spans="1:5" x14ac:dyDescent="0.3">
      <c r="A3" s="2" t="s">
        <v>24</v>
      </c>
      <c r="B3" s="20" t="s">
        <v>25</v>
      </c>
      <c r="C3" s="42" t="s">
        <v>189</v>
      </c>
      <c r="D3" s="44"/>
      <c r="E3" s="89"/>
    </row>
    <row r="4" spans="1:5" x14ac:dyDescent="0.3">
      <c r="A4" s="6" t="s">
        <v>27</v>
      </c>
      <c r="B4" s="7" t="s">
        <v>28</v>
      </c>
      <c r="C4" s="41" t="s">
        <v>26</v>
      </c>
      <c r="D4" s="25"/>
      <c r="E4" s="90"/>
    </row>
    <row r="5" spans="1:5" ht="14.4" customHeight="1" x14ac:dyDescent="0.3">
      <c r="A5" s="6" t="s">
        <v>29</v>
      </c>
      <c r="B5" s="7" t="s">
        <v>30</v>
      </c>
      <c r="C5" s="41">
        <v>45917</v>
      </c>
      <c r="D5" s="45"/>
      <c r="E5" s="90"/>
    </row>
    <row r="6" spans="1:5" x14ac:dyDescent="0.3">
      <c r="A6" s="6" t="s">
        <v>31</v>
      </c>
      <c r="B6" s="7" t="s">
        <v>30</v>
      </c>
      <c r="C6" s="41">
        <v>45952</v>
      </c>
      <c r="D6" s="45"/>
      <c r="E6" s="90"/>
    </row>
    <row r="7" spans="1:5" x14ac:dyDescent="0.3">
      <c r="A7" s="6" t="s">
        <v>32</v>
      </c>
      <c r="B7" s="7" t="s">
        <v>30</v>
      </c>
      <c r="C7" s="41" t="s">
        <v>26</v>
      </c>
      <c r="D7" s="45"/>
      <c r="E7" s="90"/>
    </row>
    <row r="8" spans="1:5" x14ac:dyDescent="0.3">
      <c r="A8" s="110" t="s">
        <v>33</v>
      </c>
      <c r="B8" s="7">
        <v>1</v>
      </c>
      <c r="C8" s="41">
        <v>45909</v>
      </c>
      <c r="D8" s="46"/>
      <c r="E8" s="90"/>
    </row>
    <row r="9" spans="1:5" x14ac:dyDescent="0.3">
      <c r="A9" s="110"/>
      <c r="B9" s="7">
        <v>2</v>
      </c>
      <c r="C9" s="41">
        <v>0</v>
      </c>
      <c r="D9" s="45"/>
      <c r="E9" s="90"/>
    </row>
    <row r="10" spans="1:5" x14ac:dyDescent="0.3">
      <c r="A10" s="111" t="s">
        <v>34</v>
      </c>
      <c r="B10" s="7">
        <v>1</v>
      </c>
      <c r="C10" s="41">
        <v>43617</v>
      </c>
      <c r="D10" s="46"/>
      <c r="E10" s="90"/>
    </row>
    <row r="11" spans="1:5" x14ac:dyDescent="0.3">
      <c r="A11" s="112"/>
      <c r="B11" s="7">
        <v>2</v>
      </c>
      <c r="C11" s="41"/>
      <c r="D11" s="45"/>
      <c r="E11" s="90"/>
    </row>
    <row r="12" spans="1:5" x14ac:dyDescent="0.3">
      <c r="A12" s="15" t="s">
        <v>35</v>
      </c>
      <c r="B12" s="7" t="s">
        <v>36</v>
      </c>
      <c r="C12" s="41">
        <v>45809</v>
      </c>
      <c r="D12" s="45" t="s">
        <v>299</v>
      </c>
      <c r="E12" s="90"/>
    </row>
    <row r="13" spans="1:5" x14ac:dyDescent="0.3">
      <c r="A13" s="6" t="s">
        <v>37</v>
      </c>
      <c r="B13" s="7" t="s">
        <v>38</v>
      </c>
      <c r="C13" s="41">
        <v>45925</v>
      </c>
      <c r="D13" s="45" t="s">
        <v>300</v>
      </c>
      <c r="E13" s="90"/>
    </row>
    <row r="14" spans="1:5" x14ac:dyDescent="0.3">
      <c r="A14" s="6" t="s">
        <v>39</v>
      </c>
      <c r="B14" s="7" t="s">
        <v>38</v>
      </c>
      <c r="C14" s="41" t="s">
        <v>26</v>
      </c>
      <c r="D14" s="45"/>
      <c r="E14" s="90"/>
    </row>
    <row r="15" spans="1:5" x14ac:dyDescent="0.3">
      <c r="A15" s="110" t="s">
        <v>40</v>
      </c>
      <c r="B15" s="7" t="s">
        <v>30</v>
      </c>
      <c r="C15" s="41">
        <v>45727</v>
      </c>
      <c r="D15" s="45" t="s">
        <v>301</v>
      </c>
      <c r="E15" s="90"/>
    </row>
    <row r="16" spans="1:5" x14ac:dyDescent="0.3">
      <c r="A16" s="110"/>
      <c r="B16" s="7" t="s">
        <v>38</v>
      </c>
      <c r="C16" s="41"/>
      <c r="D16" s="25" t="s">
        <v>302</v>
      </c>
      <c r="E16" s="90"/>
    </row>
    <row r="17" spans="1:5" x14ac:dyDescent="0.3">
      <c r="A17" s="6" t="s">
        <v>41</v>
      </c>
      <c r="B17" s="7" t="s">
        <v>28</v>
      </c>
      <c r="C17" s="41">
        <v>46041</v>
      </c>
      <c r="D17" s="25"/>
      <c r="E17" s="90"/>
    </row>
    <row r="18" spans="1:5" x14ac:dyDescent="0.3">
      <c r="A18" s="110" t="s">
        <v>42</v>
      </c>
      <c r="B18" s="7" t="s">
        <v>30</v>
      </c>
      <c r="C18" s="41" t="s">
        <v>26</v>
      </c>
      <c r="D18" s="45"/>
      <c r="E18" s="90"/>
    </row>
    <row r="19" spans="1:5" x14ac:dyDescent="0.3">
      <c r="A19" s="110"/>
      <c r="B19" s="7" t="s">
        <v>38</v>
      </c>
      <c r="C19" s="41" t="s">
        <v>26</v>
      </c>
      <c r="D19" s="45"/>
      <c r="E19" s="90"/>
    </row>
    <row r="20" spans="1:5" x14ac:dyDescent="0.3">
      <c r="A20" s="6" t="s">
        <v>43</v>
      </c>
      <c r="B20" s="7" t="s">
        <v>38</v>
      </c>
      <c r="C20" s="41" t="s">
        <v>26</v>
      </c>
      <c r="D20" s="25"/>
      <c r="E20" s="90"/>
    </row>
    <row r="21" spans="1:5" x14ac:dyDescent="0.3">
      <c r="A21" s="6" t="s">
        <v>44</v>
      </c>
      <c r="B21" s="7" t="s">
        <v>30</v>
      </c>
      <c r="C21" s="41" t="s">
        <v>26</v>
      </c>
      <c r="D21" s="25"/>
      <c r="E21" s="90"/>
    </row>
    <row r="22" spans="1:5" x14ac:dyDescent="0.3">
      <c r="A22" s="6" t="s">
        <v>45</v>
      </c>
      <c r="B22" s="7" t="s">
        <v>38</v>
      </c>
      <c r="C22" s="41" t="s">
        <v>26</v>
      </c>
      <c r="D22" s="25"/>
      <c r="E22" s="90"/>
    </row>
    <row r="23" spans="1:5" x14ac:dyDescent="0.3">
      <c r="A23" s="6" t="s">
        <v>46</v>
      </c>
      <c r="B23" s="7" t="s">
        <v>38</v>
      </c>
      <c r="C23" s="41" t="s">
        <v>26</v>
      </c>
      <c r="D23" s="25"/>
      <c r="E23" s="90"/>
    </row>
    <row r="24" spans="1:5" x14ac:dyDescent="0.3">
      <c r="A24" s="6" t="s">
        <v>47</v>
      </c>
      <c r="B24" s="7" t="s">
        <v>48</v>
      </c>
      <c r="C24" s="41">
        <v>45748</v>
      </c>
      <c r="D24" s="25"/>
      <c r="E24" s="90"/>
    </row>
    <row r="25" spans="1:5" x14ac:dyDescent="0.3">
      <c r="A25" s="6" t="s">
        <v>49</v>
      </c>
      <c r="B25" s="7" t="s">
        <v>38</v>
      </c>
      <c r="C25" s="41"/>
      <c r="D25" s="25" t="s">
        <v>303</v>
      </c>
      <c r="E25" s="90"/>
    </row>
    <row r="26" spans="1:5" x14ac:dyDescent="0.3">
      <c r="A26" s="6" t="s">
        <v>50</v>
      </c>
      <c r="B26" s="7" t="s">
        <v>38</v>
      </c>
      <c r="C26" s="41">
        <v>45925</v>
      </c>
      <c r="D26" s="25"/>
      <c r="E26" s="90"/>
    </row>
    <row r="27" spans="1:5" x14ac:dyDescent="0.3">
      <c r="A27" s="110" t="s">
        <v>51</v>
      </c>
      <c r="B27" s="7" t="s">
        <v>30</v>
      </c>
      <c r="C27" s="41" t="s">
        <v>26</v>
      </c>
      <c r="D27" s="25"/>
      <c r="E27" s="90"/>
    </row>
    <row r="28" spans="1:5" x14ac:dyDescent="0.3">
      <c r="A28" s="110"/>
      <c r="B28" s="7" t="s">
        <v>38</v>
      </c>
      <c r="C28" s="41" t="s">
        <v>26</v>
      </c>
      <c r="D28" s="25"/>
      <c r="E28" s="90"/>
    </row>
    <row r="29" spans="1:5" x14ac:dyDescent="0.3">
      <c r="A29" s="6" t="s">
        <v>52</v>
      </c>
      <c r="B29" s="7"/>
      <c r="C29" s="41">
        <v>45846</v>
      </c>
      <c r="D29" s="45" t="s">
        <v>304</v>
      </c>
      <c r="E29" s="90"/>
    </row>
    <row r="30" spans="1:5" x14ac:dyDescent="0.3">
      <c r="A30" s="6" t="s">
        <v>53</v>
      </c>
      <c r="B30" s="7"/>
      <c r="C30" s="41">
        <v>45846</v>
      </c>
      <c r="D30" s="25" t="s">
        <v>304</v>
      </c>
      <c r="E30" s="90"/>
    </row>
    <row r="31" spans="1:5" x14ac:dyDescent="0.3">
      <c r="A31" s="6" t="s">
        <v>54</v>
      </c>
      <c r="B31" s="7" t="s">
        <v>55</v>
      </c>
      <c r="C31" s="41">
        <v>45736</v>
      </c>
      <c r="D31" s="25" t="s">
        <v>305</v>
      </c>
      <c r="E31" s="90"/>
    </row>
    <row r="32" spans="1:5" x14ac:dyDescent="0.3">
      <c r="A32" s="6" t="s">
        <v>56</v>
      </c>
      <c r="B32" s="7" t="s">
        <v>55</v>
      </c>
      <c r="C32" s="41">
        <v>45701</v>
      </c>
      <c r="D32" s="25" t="s">
        <v>305</v>
      </c>
      <c r="E32" s="90"/>
    </row>
    <row r="33" spans="1:5" x14ac:dyDescent="0.3">
      <c r="A33" s="6" t="s">
        <v>57</v>
      </c>
      <c r="B33" s="7" t="s">
        <v>55</v>
      </c>
      <c r="C33" s="41">
        <v>45444</v>
      </c>
      <c r="D33" s="25" t="s">
        <v>228</v>
      </c>
      <c r="E33" s="90"/>
    </row>
    <row r="34" spans="1:5" x14ac:dyDescent="0.3">
      <c r="A34" s="6" t="s">
        <v>58</v>
      </c>
      <c r="B34" s="7" t="s">
        <v>55</v>
      </c>
      <c r="C34" s="41" t="s">
        <v>26</v>
      </c>
      <c r="D34" s="25" t="s">
        <v>164</v>
      </c>
      <c r="E34" s="90"/>
    </row>
    <row r="35" spans="1:5" x14ac:dyDescent="0.3">
      <c r="A35" s="6" t="s">
        <v>59</v>
      </c>
      <c r="B35" s="7"/>
      <c r="C35" s="41">
        <v>45261</v>
      </c>
      <c r="D35" s="25" t="s">
        <v>306</v>
      </c>
      <c r="E35" s="90"/>
    </row>
    <row r="36" spans="1:5" x14ac:dyDescent="0.3">
      <c r="A36" s="6" t="s">
        <v>60</v>
      </c>
      <c r="B36" s="7" t="s">
        <v>61</v>
      </c>
      <c r="C36" s="41"/>
      <c r="D36" s="25" t="s">
        <v>306</v>
      </c>
      <c r="E36" s="90"/>
    </row>
    <row r="37" spans="1:5" x14ac:dyDescent="0.3">
      <c r="A37" s="6" t="s">
        <v>62</v>
      </c>
      <c r="B37" s="7"/>
      <c r="C37" s="41">
        <v>45796</v>
      </c>
      <c r="D37" s="25"/>
      <c r="E37" s="90"/>
    </row>
    <row r="38" spans="1:5" x14ac:dyDescent="0.3">
      <c r="A38" s="6" t="s">
        <v>63</v>
      </c>
      <c r="B38" s="7"/>
      <c r="C38" s="41">
        <v>45796</v>
      </c>
      <c r="D38" s="25"/>
      <c r="E38" s="90"/>
    </row>
    <row r="39" spans="1:5" x14ac:dyDescent="0.3">
      <c r="A39" s="6" t="s">
        <v>64</v>
      </c>
      <c r="B39" s="7"/>
      <c r="C39" s="41">
        <v>45796</v>
      </c>
      <c r="D39" s="25"/>
      <c r="E39" s="90"/>
    </row>
    <row r="40" spans="1:5" x14ac:dyDescent="0.3">
      <c r="A40" s="6" t="s">
        <v>65</v>
      </c>
      <c r="B40" s="7"/>
      <c r="C40" s="41">
        <v>45846</v>
      </c>
      <c r="D40" s="59" t="s">
        <v>304</v>
      </c>
      <c r="E40" s="90"/>
    </row>
    <row r="41" spans="1:5" x14ac:dyDescent="0.3">
      <c r="A41" s="6" t="s">
        <v>66</v>
      </c>
      <c r="B41" s="7"/>
      <c r="C41" s="41" t="s">
        <v>26</v>
      </c>
      <c r="D41" s="25"/>
      <c r="E41" s="90"/>
    </row>
    <row r="42" spans="1:5" x14ac:dyDescent="0.3">
      <c r="A42" s="6" t="s">
        <v>67</v>
      </c>
      <c r="B42" s="7"/>
      <c r="C42" s="41">
        <v>45818</v>
      </c>
      <c r="E42" s="90"/>
    </row>
    <row r="43" spans="1:5" x14ac:dyDescent="0.3">
      <c r="A43" s="6" t="s">
        <v>68</v>
      </c>
      <c r="B43" s="7" t="s">
        <v>69</v>
      </c>
      <c r="C43" s="41">
        <v>45139</v>
      </c>
      <c r="D43" s="25" t="s">
        <v>307</v>
      </c>
      <c r="E43" s="90"/>
    </row>
    <row r="44" spans="1:5" x14ac:dyDescent="0.3">
      <c r="A44" s="6" t="s">
        <v>70</v>
      </c>
      <c r="B44" s="7" t="s">
        <v>69</v>
      </c>
      <c r="C44" s="41"/>
      <c r="D44" s="25" t="s">
        <v>308</v>
      </c>
      <c r="E44" s="90"/>
    </row>
    <row r="45" spans="1:5" x14ac:dyDescent="0.3">
      <c r="A45" s="6" t="s">
        <v>71</v>
      </c>
      <c r="B45" s="7" t="s">
        <v>72</v>
      </c>
      <c r="C45" s="41"/>
      <c r="D45" s="45" t="s">
        <v>98</v>
      </c>
      <c r="E45" s="90"/>
    </row>
    <row r="46" spans="1:5" ht="15" thickBot="1" x14ac:dyDescent="0.35">
      <c r="A46" s="3" t="s">
        <v>71</v>
      </c>
      <c r="B46" s="5" t="s">
        <v>73</v>
      </c>
      <c r="C46" s="43"/>
      <c r="D46" s="45" t="s">
        <v>98</v>
      </c>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q5fevB8pOo+eZVmZbAmkPOHHMHRP22chIHQXu8F/Cx331MPPoo8fv+5rY51CNNBAjDAo9cP3GMlLK9TkwpGSsg==" saltValue="9P+V/nXiEBtKNPN0pl/00w=="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27" priority="10">
      <formula>TODAY()-C3&gt;1095</formula>
    </cfRule>
    <cfRule type="expression" dxfId="26" priority="11">
      <formula>TODAY()-C3&lt;=1035</formula>
    </cfRule>
    <cfRule type="expression" dxfId="25" priority="12">
      <formula>AND(TODAY()-C3&gt;1035, TODAY()-C3&lt;=1095)</formula>
    </cfRule>
  </conditionalFormatting>
  <conditionalFormatting sqref="C5:C16 C18:C30 C32:C33 C37:C46">
    <cfRule type="expression" dxfId="24" priority="3">
      <formula>TODAY()-C5&gt;365</formula>
    </cfRule>
    <cfRule type="expression" dxfId="23" priority="13">
      <formula>AND(TODAY()-C5&gt;304, TODAY()-C5&lt;=365)</formula>
    </cfRule>
    <cfRule type="expression" dxfId="22" priority="14">
      <formula>TODAY()-C5&lt;=304</formula>
    </cfRule>
  </conditionalFormatting>
  <conditionalFormatting sqref="C17">
    <cfRule type="expression" dxfId="21" priority="7">
      <formula>TODAY()-C17&lt;=1765</formula>
    </cfRule>
    <cfRule type="expression" dxfId="20" priority="8">
      <formula>AND(TODAY()-C17&gt;1765, TODAY()-C17&lt;=1825)</formula>
    </cfRule>
    <cfRule type="expression" dxfId="19" priority="9">
      <formula>TODAY()-C17&gt;1825</formula>
    </cfRule>
  </conditionalFormatting>
  <conditionalFormatting sqref="C31">
    <cfRule type="expression" dxfId="18" priority="4">
      <formula>TODAY()-C31&lt;=669</formula>
    </cfRule>
    <cfRule type="expression" dxfId="17" priority="5">
      <formula>AND(TODAY()-C31&gt;669, TODAY()-C31&lt;=730)</formula>
    </cfRule>
    <cfRule type="expression" dxfId="16" priority="15">
      <formula>TODAY()-C31&gt;730</formula>
    </cfRule>
  </conditionalFormatting>
  <conditionalFormatting sqref="C35">
    <cfRule type="notContainsBlanks" dxfId="15" priority="1">
      <formula>LEN(TRIM(C35))&gt;0</formula>
    </cfRule>
    <cfRule type="containsBlanks" dxfId="14" priority="2">
      <formula>LEN(TRIM(C35))=0</formula>
    </cfRule>
  </conditionalFormatting>
  <pageMargins left="0.7" right="0.7" top="0.75" bottom="0.75" header="0.3" footer="0.3"/>
  <pageSetup paperSize="9"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D993-D5BD-4F2F-9112-658F5DF262F7}">
  <sheetPr>
    <pageSetUpPr fitToPage="1"/>
  </sheetPr>
  <dimension ref="A1:E51"/>
  <sheetViews>
    <sheetView workbookViewId="0">
      <selection activeCell="D6" sqref="D6"/>
    </sheetView>
  </sheetViews>
  <sheetFormatPr baseColWidth="10" defaultColWidth="11.44140625" defaultRowHeight="14.4" x14ac:dyDescent="0.3"/>
  <cols>
    <col min="1" max="1" width="59.109375" bestFit="1" customWidth="1"/>
    <col min="2" max="2" width="23.33203125" bestFit="1" customWidth="1"/>
    <col min="3" max="3" width="21" customWidth="1"/>
    <col min="4" max="4" width="40.88671875" bestFit="1" customWidth="1"/>
    <col min="5" max="5" width="31.5546875" bestFit="1" customWidth="1"/>
  </cols>
  <sheetData>
    <row r="1" spans="1:5" ht="14.4" customHeight="1" x14ac:dyDescent="0.3">
      <c r="A1" s="102" t="s">
        <v>0</v>
      </c>
      <c r="B1" s="103"/>
      <c r="C1" s="106" t="s">
        <v>79</v>
      </c>
      <c r="D1" s="108" t="s">
        <v>309</v>
      </c>
      <c r="E1" s="96" t="s">
        <v>81</v>
      </c>
    </row>
    <row r="2" spans="1:5" ht="15" customHeight="1" x14ac:dyDescent="0.3">
      <c r="A2" s="104"/>
      <c r="B2" s="105"/>
      <c r="C2" s="107"/>
      <c r="D2" s="109"/>
      <c r="E2" s="97"/>
    </row>
    <row r="3" spans="1:5" ht="15" customHeight="1" x14ac:dyDescent="0.3">
      <c r="A3" s="2" t="s">
        <v>24</v>
      </c>
      <c r="B3" s="20" t="s">
        <v>25</v>
      </c>
      <c r="C3" s="42" t="s">
        <v>78</v>
      </c>
      <c r="D3" s="44"/>
      <c r="E3" s="89"/>
    </row>
    <row r="4" spans="1:5" ht="15" customHeight="1" x14ac:dyDescent="0.3">
      <c r="A4" s="6" t="s">
        <v>27</v>
      </c>
      <c r="B4" s="7" t="s">
        <v>28</v>
      </c>
      <c r="C4" s="41" t="s">
        <v>78</v>
      </c>
      <c r="D4" s="25"/>
      <c r="E4" s="90"/>
    </row>
    <row r="5" spans="1:5" ht="15" customHeight="1" x14ac:dyDescent="0.3">
      <c r="A5" s="6" t="s">
        <v>29</v>
      </c>
      <c r="B5" s="7" t="s">
        <v>30</v>
      </c>
      <c r="C5" s="41" t="s">
        <v>78</v>
      </c>
      <c r="D5" s="45"/>
      <c r="E5" s="90"/>
    </row>
    <row r="6" spans="1:5" ht="15" customHeight="1" x14ac:dyDescent="0.3">
      <c r="A6" s="6" t="s">
        <v>31</v>
      </c>
      <c r="B6" s="7" t="s">
        <v>30</v>
      </c>
      <c r="C6" s="41" t="s">
        <v>78</v>
      </c>
      <c r="D6" s="45"/>
      <c r="E6" s="90"/>
    </row>
    <row r="7" spans="1:5" ht="15" customHeight="1" x14ac:dyDescent="0.3">
      <c r="A7" s="6" t="s">
        <v>32</v>
      </c>
      <c r="B7" s="7" t="s">
        <v>30</v>
      </c>
      <c r="C7" s="41" t="s">
        <v>78</v>
      </c>
      <c r="D7" s="45"/>
      <c r="E7" s="90"/>
    </row>
    <row r="8" spans="1:5" ht="15" customHeight="1" x14ac:dyDescent="0.3">
      <c r="A8" s="110" t="s">
        <v>33</v>
      </c>
      <c r="B8" s="7">
        <v>1</v>
      </c>
      <c r="C8" s="41" t="s">
        <v>78</v>
      </c>
      <c r="D8" s="46"/>
      <c r="E8" s="90"/>
    </row>
    <row r="9" spans="1:5" ht="15" customHeight="1" x14ac:dyDescent="0.3">
      <c r="A9" s="110"/>
      <c r="B9" s="7">
        <v>2</v>
      </c>
      <c r="C9" s="41" t="s">
        <v>78</v>
      </c>
      <c r="D9" s="45"/>
      <c r="E9" s="90"/>
    </row>
    <row r="10" spans="1:5" ht="15" customHeight="1" x14ac:dyDescent="0.3">
      <c r="A10" s="111" t="s">
        <v>34</v>
      </c>
      <c r="B10" s="7">
        <v>1</v>
      </c>
      <c r="C10" s="41" t="s">
        <v>78</v>
      </c>
      <c r="D10" s="46"/>
      <c r="E10" s="90"/>
    </row>
    <row r="11" spans="1:5" ht="15" customHeight="1" x14ac:dyDescent="0.3">
      <c r="A11" s="112"/>
      <c r="B11" s="7">
        <v>2</v>
      </c>
      <c r="C11" s="41" t="s">
        <v>78</v>
      </c>
      <c r="D11" s="45"/>
      <c r="E11" s="90"/>
    </row>
    <row r="12" spans="1:5" ht="15" customHeight="1" x14ac:dyDescent="0.3">
      <c r="A12" s="15" t="s">
        <v>35</v>
      </c>
      <c r="B12" s="7" t="s">
        <v>36</v>
      </c>
      <c r="C12" s="41" t="s">
        <v>78</v>
      </c>
      <c r="D12" s="45"/>
      <c r="E12" s="90"/>
    </row>
    <row r="13" spans="1:5" ht="15" customHeight="1" x14ac:dyDescent="0.3">
      <c r="A13" s="6" t="s">
        <v>37</v>
      </c>
      <c r="B13" s="7" t="s">
        <v>38</v>
      </c>
      <c r="C13" s="41" t="s">
        <v>78</v>
      </c>
      <c r="D13" s="45"/>
      <c r="E13" s="90"/>
    </row>
    <row r="14" spans="1:5" ht="15" customHeight="1" x14ac:dyDescent="0.3">
      <c r="A14" s="6" t="s">
        <v>39</v>
      </c>
      <c r="B14" s="7" t="s">
        <v>38</v>
      </c>
      <c r="C14" s="41" t="s">
        <v>78</v>
      </c>
      <c r="D14" s="45"/>
      <c r="E14" s="90"/>
    </row>
    <row r="15" spans="1:5" ht="15" customHeight="1" x14ac:dyDescent="0.3">
      <c r="A15" s="110" t="s">
        <v>40</v>
      </c>
      <c r="B15" s="7" t="s">
        <v>30</v>
      </c>
      <c r="C15" s="41" t="s">
        <v>78</v>
      </c>
      <c r="D15" s="45"/>
      <c r="E15" s="90"/>
    </row>
    <row r="16" spans="1:5" ht="15" customHeight="1" x14ac:dyDescent="0.3">
      <c r="A16" s="110"/>
      <c r="B16" s="7" t="s">
        <v>38</v>
      </c>
      <c r="C16" s="41" t="s">
        <v>78</v>
      </c>
      <c r="D16" s="45"/>
      <c r="E16" s="90"/>
    </row>
    <row r="17" spans="1:5" ht="15" customHeight="1" x14ac:dyDescent="0.3">
      <c r="A17" s="6" t="s">
        <v>41</v>
      </c>
      <c r="B17" s="7" t="s">
        <v>28</v>
      </c>
      <c r="C17" s="41" t="s">
        <v>78</v>
      </c>
      <c r="D17" s="25"/>
      <c r="E17" s="90"/>
    </row>
    <row r="18" spans="1:5" ht="15" customHeight="1" x14ac:dyDescent="0.3">
      <c r="A18" s="110" t="s">
        <v>42</v>
      </c>
      <c r="B18" s="7" t="s">
        <v>30</v>
      </c>
      <c r="C18" s="41" t="s">
        <v>78</v>
      </c>
      <c r="D18" s="45"/>
      <c r="E18" s="90"/>
    </row>
    <row r="19" spans="1:5" ht="15" customHeight="1" x14ac:dyDescent="0.3">
      <c r="A19" s="110"/>
      <c r="B19" s="7" t="s">
        <v>38</v>
      </c>
      <c r="C19" s="41" t="s">
        <v>78</v>
      </c>
      <c r="D19" s="45"/>
      <c r="E19" s="90"/>
    </row>
    <row r="20" spans="1:5" ht="15" customHeight="1" x14ac:dyDescent="0.3">
      <c r="A20" s="6" t="s">
        <v>43</v>
      </c>
      <c r="B20" s="7" t="s">
        <v>38</v>
      </c>
      <c r="C20" s="41" t="s">
        <v>78</v>
      </c>
      <c r="D20" s="25"/>
      <c r="E20" s="90"/>
    </row>
    <row r="21" spans="1:5" ht="15" customHeight="1" x14ac:dyDescent="0.3">
      <c r="A21" s="6" t="s">
        <v>44</v>
      </c>
      <c r="B21" s="7" t="s">
        <v>30</v>
      </c>
      <c r="C21" s="41" t="s">
        <v>78</v>
      </c>
      <c r="D21" s="25"/>
      <c r="E21" s="90"/>
    </row>
    <row r="22" spans="1:5" ht="15" customHeight="1" x14ac:dyDescent="0.3">
      <c r="A22" s="6" t="s">
        <v>45</v>
      </c>
      <c r="B22" s="7" t="s">
        <v>38</v>
      </c>
      <c r="C22" s="41" t="s">
        <v>78</v>
      </c>
      <c r="D22" s="25"/>
      <c r="E22" s="90"/>
    </row>
    <row r="23" spans="1:5" ht="15" customHeight="1" x14ac:dyDescent="0.3">
      <c r="A23" s="6" t="s">
        <v>46</v>
      </c>
      <c r="B23" s="7" t="s">
        <v>38</v>
      </c>
      <c r="C23" s="41" t="s">
        <v>78</v>
      </c>
      <c r="D23" s="25"/>
      <c r="E23" s="90"/>
    </row>
    <row r="24" spans="1:5" ht="15" customHeight="1" x14ac:dyDescent="0.3">
      <c r="A24" s="6" t="s">
        <v>47</v>
      </c>
      <c r="B24" s="7" t="s">
        <v>48</v>
      </c>
      <c r="C24" s="41" t="s">
        <v>78</v>
      </c>
      <c r="D24" s="25"/>
      <c r="E24" s="90"/>
    </row>
    <row r="25" spans="1:5" ht="15" customHeight="1" x14ac:dyDescent="0.3">
      <c r="A25" s="6" t="s">
        <v>49</v>
      </c>
      <c r="B25" s="7" t="s">
        <v>38</v>
      </c>
      <c r="C25" s="41" t="s">
        <v>78</v>
      </c>
      <c r="D25" s="25"/>
      <c r="E25" s="90"/>
    </row>
    <row r="26" spans="1:5" ht="15" customHeight="1" x14ac:dyDescent="0.3">
      <c r="A26" s="6" t="s">
        <v>50</v>
      </c>
      <c r="B26" s="7" t="s">
        <v>38</v>
      </c>
      <c r="C26" s="41" t="s">
        <v>78</v>
      </c>
      <c r="D26" s="25"/>
      <c r="E26" s="90"/>
    </row>
    <row r="27" spans="1:5" ht="15" customHeight="1" x14ac:dyDescent="0.3">
      <c r="A27" s="110" t="s">
        <v>51</v>
      </c>
      <c r="B27" s="7" t="s">
        <v>30</v>
      </c>
      <c r="C27" s="41" t="s">
        <v>78</v>
      </c>
      <c r="D27" s="25"/>
      <c r="E27" s="90"/>
    </row>
    <row r="28" spans="1:5" ht="15" customHeight="1" x14ac:dyDescent="0.3">
      <c r="A28" s="110"/>
      <c r="B28" s="7" t="s">
        <v>38</v>
      </c>
      <c r="C28" s="41" t="s">
        <v>78</v>
      </c>
      <c r="D28" s="25"/>
      <c r="E28" s="90"/>
    </row>
    <row r="29" spans="1:5" ht="15" customHeight="1" x14ac:dyDescent="0.3">
      <c r="A29" s="6" t="s">
        <v>52</v>
      </c>
      <c r="B29" s="7"/>
      <c r="C29" s="41" t="s">
        <v>78</v>
      </c>
      <c r="D29" s="45"/>
      <c r="E29" s="90"/>
    </row>
    <row r="30" spans="1:5" ht="15" customHeight="1" x14ac:dyDescent="0.3">
      <c r="A30" s="6" t="s">
        <v>53</v>
      </c>
      <c r="B30" s="7"/>
      <c r="C30" s="41" t="s">
        <v>78</v>
      </c>
      <c r="D30" s="25"/>
      <c r="E30" s="90"/>
    </row>
    <row r="31" spans="1:5" ht="15" customHeight="1" x14ac:dyDescent="0.3">
      <c r="A31" s="6" t="s">
        <v>54</v>
      </c>
      <c r="B31" s="7" t="s">
        <v>55</v>
      </c>
      <c r="C31" s="41" t="s">
        <v>78</v>
      </c>
      <c r="D31" s="25"/>
      <c r="E31" s="90"/>
    </row>
    <row r="32" spans="1:5" ht="15" customHeight="1" x14ac:dyDescent="0.3">
      <c r="A32" s="6" t="s">
        <v>56</v>
      </c>
      <c r="B32" s="7" t="s">
        <v>55</v>
      </c>
      <c r="C32" s="41" t="s">
        <v>78</v>
      </c>
      <c r="D32" s="25"/>
      <c r="E32" s="90"/>
    </row>
    <row r="33" spans="1:5" ht="15" customHeight="1" x14ac:dyDescent="0.3">
      <c r="A33" s="6" t="s">
        <v>57</v>
      </c>
      <c r="B33" s="7" t="s">
        <v>55</v>
      </c>
      <c r="C33" s="41" t="s">
        <v>78</v>
      </c>
      <c r="D33" s="25"/>
      <c r="E33" s="90"/>
    </row>
    <row r="34" spans="1:5" ht="15" customHeight="1" x14ac:dyDescent="0.3">
      <c r="A34" s="6" t="s">
        <v>58</v>
      </c>
      <c r="B34" s="7" t="s">
        <v>55</v>
      </c>
      <c r="C34" s="41" t="s">
        <v>78</v>
      </c>
      <c r="D34" s="25"/>
      <c r="E34" s="90"/>
    </row>
    <row r="35" spans="1:5" ht="15" customHeight="1" x14ac:dyDescent="0.3">
      <c r="A35" s="6" t="s">
        <v>59</v>
      </c>
      <c r="B35" s="7"/>
      <c r="C35" s="41" t="s">
        <v>78</v>
      </c>
      <c r="D35" s="25"/>
      <c r="E35" s="90"/>
    </row>
    <row r="36" spans="1:5" ht="15" customHeight="1" x14ac:dyDescent="0.3">
      <c r="A36" s="6" t="s">
        <v>60</v>
      </c>
      <c r="B36" s="7" t="s">
        <v>61</v>
      </c>
      <c r="C36" s="41" t="s">
        <v>78</v>
      </c>
      <c r="D36" s="25"/>
      <c r="E36" s="90"/>
    </row>
    <row r="37" spans="1:5" ht="15" customHeight="1" x14ac:dyDescent="0.3">
      <c r="A37" s="6" t="s">
        <v>62</v>
      </c>
      <c r="B37" s="7"/>
      <c r="C37" s="41" t="s">
        <v>78</v>
      </c>
      <c r="D37" s="25"/>
      <c r="E37" s="90"/>
    </row>
    <row r="38" spans="1:5" ht="15" customHeight="1" x14ac:dyDescent="0.3">
      <c r="A38" s="6" t="s">
        <v>63</v>
      </c>
      <c r="B38" s="7"/>
      <c r="C38" s="41" t="s">
        <v>78</v>
      </c>
      <c r="D38" s="25"/>
      <c r="E38" s="90"/>
    </row>
    <row r="39" spans="1:5" ht="15" customHeight="1" x14ac:dyDescent="0.3">
      <c r="A39" s="6" t="s">
        <v>64</v>
      </c>
      <c r="B39" s="7"/>
      <c r="C39" s="41" t="s">
        <v>78</v>
      </c>
      <c r="D39" s="25"/>
      <c r="E39" s="90"/>
    </row>
    <row r="40" spans="1:5" ht="15" customHeight="1" x14ac:dyDescent="0.3">
      <c r="A40" s="6" t="s">
        <v>65</v>
      </c>
      <c r="B40" s="7"/>
      <c r="C40" s="41" t="s">
        <v>78</v>
      </c>
      <c r="D40" s="25"/>
      <c r="E40" s="90"/>
    </row>
    <row r="41" spans="1:5" ht="15" customHeight="1" x14ac:dyDescent="0.3">
      <c r="A41" s="6" t="s">
        <v>66</v>
      </c>
      <c r="B41" s="7"/>
      <c r="C41" s="41" t="s">
        <v>78</v>
      </c>
      <c r="D41" s="25"/>
      <c r="E41" s="90"/>
    </row>
    <row r="42" spans="1:5" ht="15" customHeight="1" x14ac:dyDescent="0.3">
      <c r="A42" s="6" t="s">
        <v>67</v>
      </c>
      <c r="B42" s="7"/>
      <c r="C42" s="41" t="s">
        <v>78</v>
      </c>
      <c r="D42" s="25"/>
      <c r="E42" s="90"/>
    </row>
    <row r="43" spans="1:5" ht="15" customHeight="1" x14ac:dyDescent="0.3">
      <c r="A43" s="6" t="s">
        <v>68</v>
      </c>
      <c r="B43" s="7" t="s">
        <v>69</v>
      </c>
      <c r="C43" s="41" t="s">
        <v>78</v>
      </c>
      <c r="D43" s="25"/>
      <c r="E43" s="90"/>
    </row>
    <row r="44" spans="1:5" ht="15" customHeight="1" x14ac:dyDescent="0.3">
      <c r="A44" s="6" t="s">
        <v>70</v>
      </c>
      <c r="B44" s="7" t="s">
        <v>69</v>
      </c>
      <c r="C44" s="41" t="s">
        <v>78</v>
      </c>
      <c r="D44" s="25"/>
      <c r="E44" s="90"/>
    </row>
    <row r="45" spans="1:5" ht="15" customHeight="1" x14ac:dyDescent="0.3">
      <c r="A45" s="6" t="s">
        <v>71</v>
      </c>
      <c r="B45" s="7" t="s">
        <v>72</v>
      </c>
      <c r="C45" s="41" t="s">
        <v>78</v>
      </c>
      <c r="D45" s="45"/>
      <c r="E45" s="90"/>
    </row>
    <row r="46" spans="1:5" ht="15" customHeight="1" x14ac:dyDescent="0.3">
      <c r="A46" s="3" t="s">
        <v>71</v>
      </c>
      <c r="B46" s="5" t="s">
        <v>73</v>
      </c>
      <c r="C46" s="43" t="s">
        <v>78</v>
      </c>
      <c r="D46" s="45"/>
      <c r="E46" s="91"/>
    </row>
    <row r="47" spans="1:5" ht="15" customHeight="1" x14ac:dyDescent="0.3">
      <c r="C47" s="113" t="s">
        <v>74</v>
      </c>
      <c r="D47" s="114"/>
    </row>
    <row r="48" spans="1:5" ht="15" customHeight="1" x14ac:dyDescent="0.3">
      <c r="C48" s="115" t="s">
        <v>99</v>
      </c>
      <c r="D48" s="116"/>
    </row>
    <row r="49" spans="3:4" ht="15" customHeight="1" x14ac:dyDescent="0.3">
      <c r="C49" s="117" t="s">
        <v>76</v>
      </c>
      <c r="D49" s="118"/>
    </row>
    <row r="50" spans="3:4" ht="15.75" customHeight="1" x14ac:dyDescent="0.3">
      <c r="C50" s="100" t="s">
        <v>77</v>
      </c>
      <c r="D50" s="101"/>
    </row>
    <row r="51" spans="3:4" ht="15" thickBot="1" x14ac:dyDescent="0.35">
      <c r="C51" s="98" t="s">
        <v>78</v>
      </c>
      <c r="D51" s="99"/>
    </row>
  </sheetData>
  <sheetProtection algorithmName="SHA-512" hashValue="yfMGfsLHDC5jKIN2ooJgkWO7af0iau0n4towifI7Q2ApFF5OYemudpU5Y10VxXsC8GttNoR7kTs2RLN1QKZRAg==" saltValue="5DLk0XGZYCOp/zOsRppzXQ==" spinCount="100000" sheet="1" objects="1" scenarios="1" selectLockedCells="1"/>
  <mergeCells count="14">
    <mergeCell ref="E1:E2"/>
    <mergeCell ref="C51:D51"/>
    <mergeCell ref="C50:D50"/>
    <mergeCell ref="A1:B2"/>
    <mergeCell ref="C1:C2"/>
    <mergeCell ref="D1:D2"/>
    <mergeCell ref="A8:A9"/>
    <mergeCell ref="A10:A11"/>
    <mergeCell ref="A15:A16"/>
    <mergeCell ref="A18:A19"/>
    <mergeCell ref="A27:A28"/>
    <mergeCell ref="C47:D47"/>
    <mergeCell ref="C48:D48"/>
    <mergeCell ref="C49:D49"/>
  </mergeCells>
  <conditionalFormatting sqref="C3:C4 C34 C36">
    <cfRule type="expression" dxfId="13" priority="10">
      <formula>TODAY()-C3&gt;1095</formula>
    </cfRule>
    <cfRule type="expression" dxfId="12" priority="11">
      <formula>TODAY()-C3&lt;=1035</formula>
    </cfRule>
    <cfRule type="expression" dxfId="11" priority="12">
      <formula>AND(TODAY()-C3&gt;1035, TODAY()-C3&lt;=1095)</formula>
    </cfRule>
  </conditionalFormatting>
  <conditionalFormatting sqref="C5:C16 C18:C30 C32:C33 C37:C46">
    <cfRule type="expression" dxfId="10" priority="3">
      <formula>TODAY()-C5&gt;365</formula>
    </cfRule>
    <cfRule type="expression" dxfId="9" priority="13">
      <formula>AND(TODAY()-C5&gt;304, TODAY()-C5&lt;=365)</formula>
    </cfRule>
    <cfRule type="expression" dxfId="8" priority="14">
      <formula>TODAY()-C5&lt;=304</formula>
    </cfRule>
  </conditionalFormatting>
  <conditionalFormatting sqref="C17">
    <cfRule type="expression" dxfId="7" priority="7">
      <formula>TODAY()-C17&lt;=1765</formula>
    </cfRule>
    <cfRule type="expression" dxfId="6" priority="8">
      <formula>AND(TODAY()-C17&gt;1765, TODAY()-C17&lt;=1825)</formula>
    </cfRule>
    <cfRule type="expression" dxfId="5" priority="9">
      <formula>TODAY()-C17&gt;1825</formula>
    </cfRule>
  </conditionalFormatting>
  <conditionalFormatting sqref="C31">
    <cfRule type="expression" dxfId="4" priority="4">
      <formula>TODAY()-C31&lt;=669</formula>
    </cfRule>
    <cfRule type="expression" dxfId="3" priority="5">
      <formula>AND(TODAY()-C31&gt;669, TODAY()-C31&lt;=730)</formula>
    </cfRule>
    <cfRule type="expression" dxfId="2" priority="15">
      <formula>TODAY()-C31&gt;730</formula>
    </cfRule>
  </conditionalFormatting>
  <conditionalFormatting sqref="C35">
    <cfRule type="notContainsBlanks" dxfId="1" priority="1">
      <formula>LEN(TRIM(C35))&gt;0</formula>
    </cfRule>
    <cfRule type="containsBlanks" dxfId="0" priority="2">
      <formula>LEN(TRIM(C35))=0</formula>
    </cfRule>
  </conditionalFormatting>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Feuilles de calcul</vt:lpstr>
      </vt:variant>
      <vt:variant>
        <vt:i4>19</vt:i4>
      </vt:variant>
    </vt:vector>
  </HeadingPairs>
  <TitlesOfParts>
    <vt:vector size="19" baseType="lpstr">
      <vt:lpstr>tableau de bord sécurité 2026</vt:lpstr>
      <vt:lpstr>CDLA</vt:lpstr>
      <vt:lpstr>DAME-AF-SEES</vt:lpstr>
      <vt:lpstr>DAME-AF-SIPFP</vt:lpstr>
      <vt:lpstr>DAME-AF+GEM-Clémenceau</vt:lpstr>
      <vt:lpstr>DAME-AF-Internat</vt:lpstr>
      <vt:lpstr>DAME-BD</vt:lpstr>
      <vt:lpstr>DES-AB-NLR</vt:lpstr>
      <vt:lpstr>DES-AB-Internat</vt:lpstr>
      <vt:lpstr>DES-AB-CHARTRES</vt:lpstr>
      <vt:lpstr>DES-AB-VERNOUILLET</vt:lpstr>
      <vt:lpstr>DES-AB-2SAI</vt:lpstr>
      <vt:lpstr>CMPP-DREUX</vt:lpstr>
      <vt:lpstr>CMPP-CHARTRES</vt:lpstr>
      <vt:lpstr>CMPP-CHATEAUDUN</vt:lpstr>
      <vt:lpstr>DITEP-SENONCHES</vt:lpstr>
      <vt:lpstr>DITEP-MORANCEZ</vt:lpstr>
      <vt:lpstr>PISP-DDAISP-ESATHM</vt:lpstr>
      <vt:lpstr>PIPSP habitat inclusif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Maintenance IAB</dc:creator>
  <cp:keywords/>
  <dc:description/>
  <cp:lastModifiedBy>Guillaume GATEAU (PRO)</cp:lastModifiedBy>
  <cp:revision/>
  <dcterms:created xsi:type="dcterms:W3CDTF">2024-04-16T06:59:04Z</dcterms:created>
  <dcterms:modified xsi:type="dcterms:W3CDTF">2026-05-12T10:50:23Z</dcterms:modified>
  <cp:category/>
  <cp:contentStatus/>
</cp:coreProperties>
</file>